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esktop\temp2\"/>
    </mc:Choice>
  </mc:AlternateContent>
  <xr:revisionPtr revIDLastSave="0" documentId="13_ncr:1_{4189B718-F051-4120-B199-3BB83AA2F353}" xr6:coauthVersionLast="47" xr6:coauthVersionMax="47" xr10:uidLastSave="{00000000-0000-0000-0000-000000000000}"/>
  <bookViews>
    <workbookView xWindow="19605" yWindow="1815" windowWidth="16200" windowHeight="11370" xr2:uid="{927DE51B-CC27-429C-BCD1-72BA80CA9632}"/>
  </bookViews>
  <sheets>
    <sheet name="Sheet1" sheetId="1" r:id="rId1"/>
    <sheet name="xml" sheetId="2" r:id="rId2"/>
  </sheets>
  <definedNames>
    <definedName name="_xleta.MATCH" hidden="1" xlm="1">#NAME?</definedName>
    <definedName name="Drop_Down_1">xml!$M$2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" l="1"/>
  <c r="F21" i="2" s="1"/>
  <c r="Q11" i="1"/>
  <c r="F32" i="2" s="1"/>
  <c r="R11" i="1"/>
  <c r="F43" i="2" s="1"/>
  <c r="S11" i="1"/>
  <c r="F54" i="2" s="1"/>
  <c r="T11" i="1"/>
  <c r="F65" i="2" s="1"/>
  <c r="U11" i="1"/>
  <c r="F76" i="2" s="1"/>
  <c r="V11" i="1"/>
  <c r="F87" i="2" s="1"/>
  <c r="O11" i="1"/>
  <c r="F10" i="2" s="1"/>
  <c r="E32" i="1"/>
  <c r="F32" i="1"/>
  <c r="G32" i="1"/>
  <c r="H32" i="1"/>
  <c r="I32" i="1"/>
  <c r="J32" i="1"/>
  <c r="K32" i="1"/>
  <c r="L32" i="1"/>
  <c r="E33" i="1"/>
  <c r="F33" i="1"/>
  <c r="G33" i="1"/>
  <c r="H33" i="1"/>
  <c r="I33" i="1"/>
  <c r="J33" i="1"/>
  <c r="K33" i="1"/>
  <c r="L33" i="1"/>
  <c r="E34" i="1"/>
  <c r="F34" i="1"/>
  <c r="G34" i="1"/>
  <c r="H34" i="1"/>
  <c r="I34" i="1"/>
  <c r="J34" i="1"/>
  <c r="K34" i="1"/>
  <c r="L34" i="1"/>
  <c r="E35" i="1"/>
  <c r="F35" i="1"/>
  <c r="G35" i="1"/>
  <c r="H35" i="1"/>
  <c r="I35" i="1"/>
  <c r="J35" i="1"/>
  <c r="K35" i="1"/>
  <c r="L35" i="1"/>
  <c r="E36" i="1"/>
  <c r="F36" i="1"/>
  <c r="G36" i="1"/>
  <c r="H36" i="1"/>
  <c r="I36" i="1"/>
  <c r="J36" i="1"/>
  <c r="K36" i="1"/>
  <c r="L36" i="1"/>
  <c r="E37" i="1"/>
  <c r="F37" i="1"/>
  <c r="G37" i="1"/>
  <c r="H37" i="1"/>
  <c r="I37" i="1"/>
  <c r="J37" i="1"/>
  <c r="K37" i="1"/>
  <c r="L37" i="1"/>
  <c r="E38" i="1"/>
  <c r="F38" i="1"/>
  <c r="G38" i="1"/>
  <c r="H38" i="1"/>
  <c r="I38" i="1"/>
  <c r="J38" i="1"/>
  <c r="K38" i="1"/>
  <c r="L38" i="1"/>
  <c r="E39" i="1"/>
  <c r="F39" i="1"/>
  <c r="G39" i="1"/>
  <c r="H39" i="1"/>
  <c r="I39" i="1"/>
  <c r="J39" i="1"/>
  <c r="K39" i="1"/>
  <c r="L39" i="1"/>
  <c r="E40" i="1"/>
  <c r="F40" i="1"/>
  <c r="G40" i="1"/>
  <c r="H40" i="1"/>
  <c r="I40" i="1"/>
  <c r="J40" i="1"/>
  <c r="K40" i="1"/>
  <c r="L40" i="1"/>
  <c r="E41" i="1"/>
  <c r="F41" i="1"/>
  <c r="G41" i="1"/>
  <c r="H41" i="1"/>
  <c r="I41" i="1"/>
  <c r="J41" i="1"/>
  <c r="K41" i="1"/>
  <c r="L41" i="1"/>
  <c r="E42" i="1"/>
  <c r="F42" i="1"/>
  <c r="G42" i="1"/>
  <c r="H42" i="1"/>
  <c r="I42" i="1"/>
  <c r="J42" i="1"/>
  <c r="K42" i="1"/>
  <c r="L42" i="1"/>
  <c r="E43" i="1"/>
  <c r="F43" i="1"/>
  <c r="G43" i="1"/>
  <c r="H43" i="1"/>
  <c r="I43" i="1"/>
  <c r="J43" i="1"/>
  <c r="K43" i="1"/>
  <c r="L43" i="1"/>
  <c r="E44" i="1"/>
  <c r="F44" i="1"/>
  <c r="G44" i="1"/>
  <c r="H44" i="1"/>
  <c r="I44" i="1"/>
  <c r="J44" i="1"/>
  <c r="K44" i="1"/>
  <c r="L44" i="1"/>
  <c r="E45" i="1"/>
  <c r="F45" i="1"/>
  <c r="G45" i="1"/>
  <c r="H45" i="1"/>
  <c r="I45" i="1"/>
  <c r="J45" i="1"/>
  <c r="K45" i="1"/>
  <c r="L45" i="1"/>
  <c r="E46" i="1"/>
  <c r="F46" i="1"/>
  <c r="G46" i="1"/>
  <c r="H46" i="1"/>
  <c r="I46" i="1"/>
  <c r="J46" i="1"/>
  <c r="K46" i="1"/>
  <c r="L46" i="1"/>
  <c r="E47" i="1"/>
  <c r="F47" i="1"/>
  <c r="G47" i="1"/>
  <c r="H47" i="1"/>
  <c r="I47" i="1"/>
  <c r="J47" i="1"/>
  <c r="K47" i="1"/>
  <c r="L47" i="1"/>
  <c r="F31" i="1"/>
  <c r="G31" i="1"/>
  <c r="H31" i="1"/>
  <c r="I31" i="1"/>
  <c r="J31" i="1"/>
  <c r="K31" i="1"/>
  <c r="L31" i="1"/>
  <c r="E31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7" i="1"/>
  <c r="F81" i="1"/>
  <c r="G81" i="1"/>
  <c r="J81" i="1"/>
  <c r="K81" i="1"/>
  <c r="F82" i="1"/>
  <c r="G82" i="1"/>
  <c r="J82" i="1"/>
  <c r="K82" i="1"/>
  <c r="F83" i="1"/>
  <c r="G83" i="1"/>
  <c r="J83" i="1"/>
  <c r="K83" i="1"/>
  <c r="G84" i="1"/>
  <c r="K84" i="1"/>
  <c r="F86" i="1"/>
  <c r="G86" i="1"/>
  <c r="J86" i="1"/>
  <c r="K86" i="1"/>
  <c r="F87" i="1"/>
  <c r="G87" i="1"/>
  <c r="J87" i="1"/>
  <c r="K87" i="1"/>
  <c r="G88" i="1"/>
  <c r="K88" i="1"/>
  <c r="F90" i="1"/>
  <c r="G90" i="1"/>
  <c r="J90" i="1"/>
  <c r="K90" i="1"/>
  <c r="F91" i="1"/>
  <c r="G91" i="1"/>
  <c r="J91" i="1"/>
  <c r="K91" i="1"/>
  <c r="G92" i="1"/>
  <c r="K92" i="1"/>
  <c r="F94" i="1"/>
  <c r="G94" i="1"/>
  <c r="J94" i="1"/>
  <c r="K94" i="1"/>
  <c r="F95" i="1"/>
  <c r="G95" i="1"/>
  <c r="J95" i="1"/>
  <c r="K95" i="1"/>
  <c r="G79" i="1"/>
  <c r="H79" i="1"/>
  <c r="K79" i="1"/>
  <c r="L79" i="1"/>
  <c r="H19" i="1"/>
  <c r="H91" i="1" s="1"/>
  <c r="O6" i="1"/>
  <c r="AG17" i="1"/>
  <c r="AG18" i="1"/>
  <c r="AG19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3" i="1"/>
  <c r="E9" i="1"/>
  <c r="E81" i="1" s="1"/>
  <c r="F9" i="1"/>
  <c r="F57" i="1" s="1"/>
  <c r="G9" i="1"/>
  <c r="G57" i="1" s="1"/>
  <c r="H9" i="1"/>
  <c r="H57" i="1" s="1"/>
  <c r="I9" i="1"/>
  <c r="I81" i="1" s="1"/>
  <c r="J9" i="1"/>
  <c r="J57" i="1" s="1"/>
  <c r="K9" i="1"/>
  <c r="K57" i="1" s="1"/>
  <c r="L9" i="1"/>
  <c r="L57" i="1" s="1"/>
  <c r="F7" i="1"/>
  <c r="F55" i="1" s="1"/>
  <c r="G7" i="1"/>
  <c r="H7" i="1"/>
  <c r="H55" i="1" s="1"/>
  <c r="I7" i="1"/>
  <c r="I55" i="1" s="1"/>
  <c r="J7" i="1"/>
  <c r="J79" i="1" s="1"/>
  <c r="K7" i="1"/>
  <c r="L7" i="1"/>
  <c r="L55" i="1" s="1"/>
  <c r="F8" i="1"/>
  <c r="F56" i="1" s="1"/>
  <c r="G8" i="1"/>
  <c r="G56" i="1" s="1"/>
  <c r="H8" i="1"/>
  <c r="H80" i="1" s="1"/>
  <c r="I8" i="1"/>
  <c r="I56" i="1" s="1"/>
  <c r="J8" i="1"/>
  <c r="K8" i="1"/>
  <c r="K56" i="1" s="1"/>
  <c r="L8" i="1"/>
  <c r="L80" i="1" s="1"/>
  <c r="F10" i="1"/>
  <c r="F58" i="1" s="1"/>
  <c r="G10" i="1"/>
  <c r="H10" i="1"/>
  <c r="H82" i="1" s="1"/>
  <c r="I10" i="1"/>
  <c r="I58" i="1" s="1"/>
  <c r="J10" i="1"/>
  <c r="J58" i="1" s="1"/>
  <c r="K10" i="1"/>
  <c r="L10" i="1"/>
  <c r="L82" i="1" s="1"/>
  <c r="F11" i="1"/>
  <c r="F59" i="1" s="1"/>
  <c r="G11" i="1"/>
  <c r="G59" i="1" s="1"/>
  <c r="H11" i="1"/>
  <c r="H59" i="1" s="1"/>
  <c r="I11" i="1"/>
  <c r="I83" i="1" s="1"/>
  <c r="J11" i="1"/>
  <c r="J59" i="1" s="1"/>
  <c r="K11" i="1"/>
  <c r="K59" i="1" s="1"/>
  <c r="L11" i="1"/>
  <c r="L59" i="1" s="1"/>
  <c r="F12" i="1"/>
  <c r="F60" i="1" s="1"/>
  <c r="G12" i="1"/>
  <c r="G60" i="1" s="1"/>
  <c r="H12" i="1"/>
  <c r="H60" i="1" s="1"/>
  <c r="I12" i="1"/>
  <c r="I84" i="1" s="1"/>
  <c r="J12" i="1"/>
  <c r="J60" i="1" s="1"/>
  <c r="K12" i="1"/>
  <c r="K60" i="1" s="1"/>
  <c r="L12" i="1"/>
  <c r="L60" i="1" s="1"/>
  <c r="F13" i="1"/>
  <c r="F85" i="1" s="1"/>
  <c r="G13" i="1"/>
  <c r="G61" i="1" s="1"/>
  <c r="H13" i="1"/>
  <c r="H61" i="1" s="1"/>
  <c r="I13" i="1"/>
  <c r="I61" i="1" s="1"/>
  <c r="J13" i="1"/>
  <c r="J85" i="1" s="1"/>
  <c r="K13" i="1"/>
  <c r="K61" i="1" s="1"/>
  <c r="L13" i="1"/>
  <c r="L61" i="1" s="1"/>
  <c r="F14" i="1"/>
  <c r="F62" i="1" s="1"/>
  <c r="G14" i="1"/>
  <c r="H14" i="1"/>
  <c r="H62" i="1" s="1"/>
  <c r="I14" i="1"/>
  <c r="I86" i="1" s="1"/>
  <c r="J14" i="1"/>
  <c r="J62" i="1" s="1"/>
  <c r="K14" i="1"/>
  <c r="K62" i="1" s="1"/>
  <c r="L14" i="1"/>
  <c r="L62" i="1" s="1"/>
  <c r="F15" i="1"/>
  <c r="F63" i="1" s="1"/>
  <c r="G15" i="1"/>
  <c r="G63" i="1" s="1"/>
  <c r="H15" i="1"/>
  <c r="H63" i="1" s="1"/>
  <c r="I15" i="1"/>
  <c r="I87" i="1" s="1"/>
  <c r="J15" i="1"/>
  <c r="K15" i="1"/>
  <c r="K63" i="1" s="1"/>
  <c r="L15" i="1"/>
  <c r="L63" i="1" s="1"/>
  <c r="F16" i="1"/>
  <c r="F64" i="1" s="1"/>
  <c r="G16" i="1"/>
  <c r="H16" i="1"/>
  <c r="H64" i="1" s="1"/>
  <c r="I16" i="1"/>
  <c r="I88" i="1" s="1"/>
  <c r="J16" i="1"/>
  <c r="J64" i="1" s="1"/>
  <c r="K16" i="1"/>
  <c r="K64" i="1" s="1"/>
  <c r="L16" i="1"/>
  <c r="L64" i="1" s="1"/>
  <c r="F17" i="1"/>
  <c r="F89" i="1" s="1"/>
  <c r="G17" i="1"/>
  <c r="G65" i="1" s="1"/>
  <c r="H17" i="1"/>
  <c r="H65" i="1" s="1"/>
  <c r="I17" i="1"/>
  <c r="I65" i="1" s="1"/>
  <c r="J17" i="1"/>
  <c r="J89" i="1" s="1"/>
  <c r="K17" i="1"/>
  <c r="K65" i="1" s="1"/>
  <c r="L17" i="1"/>
  <c r="L65" i="1" s="1"/>
  <c r="F18" i="1"/>
  <c r="F66" i="1" s="1"/>
  <c r="G18" i="1"/>
  <c r="H18" i="1"/>
  <c r="H66" i="1" s="1"/>
  <c r="I18" i="1"/>
  <c r="I90" i="1" s="1"/>
  <c r="J18" i="1"/>
  <c r="J66" i="1" s="1"/>
  <c r="K18" i="1"/>
  <c r="K66" i="1" s="1"/>
  <c r="L18" i="1"/>
  <c r="L66" i="1" s="1"/>
  <c r="F19" i="1"/>
  <c r="F67" i="1" s="1"/>
  <c r="G19" i="1"/>
  <c r="G67" i="1" s="1"/>
  <c r="H67" i="1"/>
  <c r="I19" i="1"/>
  <c r="I91" i="1" s="1"/>
  <c r="J19" i="1"/>
  <c r="J67" i="1" s="1"/>
  <c r="K19" i="1"/>
  <c r="K67" i="1" s="1"/>
  <c r="L19" i="1"/>
  <c r="L67" i="1" s="1"/>
  <c r="F20" i="1"/>
  <c r="F68" i="1" s="1"/>
  <c r="G20" i="1"/>
  <c r="G68" i="1" s="1"/>
  <c r="H20" i="1"/>
  <c r="H68" i="1" s="1"/>
  <c r="I20" i="1"/>
  <c r="I92" i="1" s="1"/>
  <c r="J20" i="1"/>
  <c r="J68" i="1" s="1"/>
  <c r="K20" i="1"/>
  <c r="K68" i="1" s="1"/>
  <c r="L20" i="1"/>
  <c r="L68" i="1" s="1"/>
  <c r="F21" i="1"/>
  <c r="F93" i="1" s="1"/>
  <c r="G21" i="1"/>
  <c r="G69" i="1" s="1"/>
  <c r="H21" i="1"/>
  <c r="H69" i="1" s="1"/>
  <c r="I21" i="1"/>
  <c r="I69" i="1" s="1"/>
  <c r="J21" i="1"/>
  <c r="J93" i="1" s="1"/>
  <c r="K21" i="1"/>
  <c r="K69" i="1" s="1"/>
  <c r="L21" i="1"/>
  <c r="L69" i="1" s="1"/>
  <c r="F22" i="1"/>
  <c r="F70" i="1" s="1"/>
  <c r="G22" i="1"/>
  <c r="H22" i="1"/>
  <c r="H70" i="1" s="1"/>
  <c r="I22" i="1"/>
  <c r="I94" i="1" s="1"/>
  <c r="J22" i="1"/>
  <c r="J70" i="1" s="1"/>
  <c r="K22" i="1"/>
  <c r="K70" i="1" s="1"/>
  <c r="L22" i="1"/>
  <c r="L70" i="1" s="1"/>
  <c r="F23" i="1"/>
  <c r="F71" i="1" s="1"/>
  <c r="G23" i="1"/>
  <c r="G71" i="1" s="1"/>
  <c r="H23" i="1"/>
  <c r="H71" i="1" s="1"/>
  <c r="I23" i="1"/>
  <c r="I71" i="1" s="1"/>
  <c r="J23" i="1"/>
  <c r="J71" i="1" s="1"/>
  <c r="K23" i="1"/>
  <c r="K71" i="1" s="1"/>
  <c r="L23" i="1"/>
  <c r="L71" i="1" s="1"/>
  <c r="E8" i="1"/>
  <c r="E80" i="1" s="1"/>
  <c r="E10" i="1"/>
  <c r="E58" i="1" s="1"/>
  <c r="E11" i="1"/>
  <c r="E59" i="1" s="1"/>
  <c r="E12" i="1"/>
  <c r="E60" i="1" s="1"/>
  <c r="E13" i="1"/>
  <c r="E85" i="1" s="1"/>
  <c r="E14" i="1"/>
  <c r="E86" i="1" s="1"/>
  <c r="E15" i="1"/>
  <c r="E87" i="1" s="1"/>
  <c r="E16" i="1"/>
  <c r="E64" i="1" s="1"/>
  <c r="E17" i="1"/>
  <c r="E89" i="1" s="1"/>
  <c r="E18" i="1"/>
  <c r="E90" i="1" s="1"/>
  <c r="E19" i="1"/>
  <c r="E91" i="1" s="1"/>
  <c r="E20" i="1"/>
  <c r="E68" i="1" s="1"/>
  <c r="E21" i="1"/>
  <c r="E93" i="1" s="1"/>
  <c r="E22" i="1"/>
  <c r="E70" i="1" s="1"/>
  <c r="E23" i="1"/>
  <c r="E71" i="1" s="1"/>
  <c r="E7" i="1"/>
  <c r="E55" i="1" s="1"/>
  <c r="K93" i="1" l="1"/>
  <c r="G89" i="1"/>
  <c r="K85" i="1"/>
  <c r="G85" i="1"/>
  <c r="K80" i="1"/>
  <c r="G80" i="1"/>
  <c r="J84" i="1"/>
  <c r="F84" i="1"/>
  <c r="S7" i="1"/>
  <c r="F79" i="1"/>
  <c r="I95" i="1"/>
  <c r="S10" i="1" s="1"/>
  <c r="F53" i="2" s="1"/>
  <c r="E95" i="1"/>
  <c r="E94" i="1"/>
  <c r="I93" i="1"/>
  <c r="E92" i="1"/>
  <c r="I89" i="1"/>
  <c r="E88" i="1"/>
  <c r="I85" i="1"/>
  <c r="E84" i="1"/>
  <c r="E83" i="1"/>
  <c r="I82" i="1"/>
  <c r="E82" i="1"/>
  <c r="I80" i="1"/>
  <c r="G93" i="1"/>
  <c r="K89" i="1"/>
  <c r="J92" i="1"/>
  <c r="F92" i="1"/>
  <c r="J88" i="1"/>
  <c r="F88" i="1"/>
  <c r="J80" i="1"/>
  <c r="F80" i="1"/>
  <c r="E79" i="1"/>
  <c r="I79" i="1"/>
  <c r="L95" i="1"/>
  <c r="V10" i="1" s="1"/>
  <c r="F86" i="2" s="1"/>
  <c r="H95" i="1"/>
  <c r="R10" i="1" s="1"/>
  <c r="F42" i="2" s="1"/>
  <c r="L94" i="1"/>
  <c r="H94" i="1"/>
  <c r="L93" i="1"/>
  <c r="H93" i="1"/>
  <c r="L92" i="1"/>
  <c r="H92" i="1"/>
  <c r="L91" i="1"/>
  <c r="L90" i="1"/>
  <c r="H90" i="1"/>
  <c r="L89" i="1"/>
  <c r="H89" i="1"/>
  <c r="L88" i="1"/>
  <c r="H88" i="1"/>
  <c r="L87" i="1"/>
  <c r="H87" i="1"/>
  <c r="L86" i="1"/>
  <c r="H86" i="1"/>
  <c r="L85" i="1"/>
  <c r="H85" i="1"/>
  <c r="L84" i="1"/>
  <c r="H84" i="1"/>
  <c r="L83" i="1"/>
  <c r="H83" i="1"/>
  <c r="L81" i="1"/>
  <c r="H81" i="1"/>
  <c r="U10" i="1"/>
  <c r="F75" i="2" s="1"/>
  <c r="Q10" i="1"/>
  <c r="F31" i="2" s="1"/>
  <c r="T10" i="1"/>
  <c r="F64" i="2" s="1"/>
  <c r="P10" i="1"/>
  <c r="F20" i="2" s="1"/>
  <c r="V7" i="1"/>
  <c r="U7" i="1"/>
  <c r="Q7" i="1"/>
  <c r="R7" i="1"/>
  <c r="T7" i="1"/>
  <c r="P7" i="1"/>
  <c r="O7" i="1"/>
  <c r="F6" i="2" s="1"/>
  <c r="S9" i="1"/>
  <c r="P9" i="1"/>
  <c r="U9" i="1"/>
  <c r="Q9" i="1"/>
  <c r="I57" i="1"/>
  <c r="E57" i="1"/>
  <c r="G55" i="1"/>
  <c r="K55" i="1"/>
  <c r="E65" i="1"/>
  <c r="E61" i="1"/>
  <c r="E56" i="1"/>
  <c r="O9" i="1" s="1"/>
  <c r="F69" i="1"/>
  <c r="I68" i="1"/>
  <c r="G66" i="1"/>
  <c r="F65" i="1"/>
  <c r="I64" i="1"/>
  <c r="G62" i="1"/>
  <c r="J61" i="1"/>
  <c r="F61" i="1"/>
  <c r="I60" i="1"/>
  <c r="K58" i="1"/>
  <c r="G58" i="1"/>
  <c r="E69" i="1"/>
  <c r="J69" i="1"/>
  <c r="J56" i="1"/>
  <c r="T9" i="1" s="1"/>
  <c r="G70" i="1"/>
  <c r="J65" i="1"/>
  <c r="E67" i="1"/>
  <c r="E63" i="1"/>
  <c r="I66" i="1"/>
  <c r="I62" i="1"/>
  <c r="L56" i="1"/>
  <c r="V9" i="1" s="1"/>
  <c r="H56" i="1"/>
  <c r="R9" i="1" s="1"/>
  <c r="G64" i="1"/>
  <c r="J63" i="1"/>
  <c r="E66" i="1"/>
  <c r="E62" i="1"/>
  <c r="I67" i="1"/>
  <c r="I63" i="1"/>
  <c r="I59" i="1"/>
  <c r="L58" i="1"/>
  <c r="H58" i="1"/>
  <c r="J55" i="1"/>
  <c r="I70" i="1"/>
  <c r="O10" i="1" l="1"/>
  <c r="F9" i="2" s="1"/>
  <c r="F85" i="2"/>
  <c r="F83" i="2"/>
  <c r="F52" i="2"/>
  <c r="F61" i="2"/>
  <c r="F28" i="2"/>
  <c r="F72" i="2"/>
  <c r="F41" i="2"/>
  <c r="F17" i="2"/>
  <c r="F30" i="2"/>
  <c r="F74" i="2"/>
  <c r="F39" i="2"/>
  <c r="F50" i="2"/>
  <c r="F19" i="2"/>
  <c r="F8" i="2"/>
  <c r="F63" i="2"/>
  <c r="U8" i="1" l="1"/>
  <c r="F73" i="2" s="1"/>
  <c r="Q8" i="1"/>
  <c r="F29" i="2" s="1"/>
  <c r="S8" i="1"/>
  <c r="F51" i="2" s="1"/>
  <c r="R8" i="1"/>
  <c r="F40" i="2" s="1"/>
  <c r="T8" i="1"/>
  <c r="F62" i="2" s="1"/>
  <c r="O8" i="1"/>
  <c r="F7" i="2" s="1"/>
  <c r="V8" i="1"/>
  <c r="F84" i="2" s="1"/>
  <c r="P8" i="1" l="1"/>
  <c r="F18" i="2" l="1"/>
</calcChain>
</file>

<file path=xl/sharedStrings.xml><?xml version="1.0" encoding="utf-8"?>
<sst xmlns="http://schemas.openxmlformats.org/spreadsheetml/2006/main" count="77" uniqueCount="28">
  <si>
    <t>x</t>
  </si>
  <si>
    <t>y</t>
  </si>
  <si>
    <t>Colorful - coversize</t>
  </si>
  <si>
    <t>px</t>
  </si>
  <si>
    <t>itemScale =</t>
  </si>
  <si>
    <t>Calculate maxItems</t>
  </si>
  <si>
    <t>&lt;aspectRatio name="1:1"&gt;</t>
  </si>
  <si>
    <t>&lt;view name="gamelist"&gt;</t>
  </si>
  <si>
    <t>&lt;carousel name="game-carousel"&gt;</t>
  </si>
  <si>
    <t>&lt;/carousel&gt;</t>
  </si>
  <si>
    <t>&lt;/view&gt;</t>
  </si>
  <si>
    <t>&lt;/aspectRatio&gt;</t>
  </si>
  <si>
    <t>&lt;aspectRatio name="5:4"&gt;</t>
  </si>
  <si>
    <t>&lt;aspectRatio name="4:3"&gt;</t>
  </si>
  <si>
    <t>&lt;aspectRatio name="3:2"&gt;</t>
  </si>
  <si>
    <t>&lt;aspectRatio name="16:10"&gt;</t>
  </si>
  <si>
    <t>&lt;aspectRatio name="16:9"&gt;</t>
  </si>
  <si>
    <t>&lt;aspectRatio name="19.5:9"&gt;</t>
  </si>
  <si>
    <t>&lt;aspectRatio name="21:9"&gt;</t>
  </si>
  <si>
    <t>&lt;theme&gt;</t>
  </si>
  <si>
    <t>&lt;variant name="carousel"&gt;</t>
  </si>
  <si>
    <t xml:space="preserve">   &lt;/variant&gt;</t>
  </si>
  <si>
    <t>&lt;/theme&gt;</t>
  </si>
  <si>
    <t xml:space="preserve"> </t>
  </si>
  <si>
    <t>Calculate horizontalOffset</t>
  </si>
  <si>
    <t>752-1440</t>
  </si>
  <si>
    <t>Calculate X for itemSize Y =</t>
  </si>
  <si>
    <t>Calculate margins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</si>
</sst>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1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wrapText="1"/>
    </xf>
    <xf numFmtId="0" fontId="0" fillId="2" borderId="1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3</xdr:row>
          <xdr:rowOff>161925</xdr:rowOff>
        </xdr:from>
        <xdr:to>
          <xdr:col>14</xdr:col>
          <xdr:colOff>200025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FF1E-70F4-4FDA-84AA-FB1BC6825221}">
  <sheetPr codeName="Sheet1"/>
  <dimension ref="A1:AG95"/>
  <sheetViews>
    <sheetView tabSelected="1" zoomScaleNormal="100" workbookViewId="0"/>
  </sheetViews>
  <sheetFormatPr defaultRowHeight="15" x14ac:dyDescent="0.25"/>
  <cols>
    <col min="8" max="8" width="11.5703125" bestFit="1" customWidth="1"/>
    <col min="15" max="16" width="9.140625" customWidth="1"/>
    <col min="22" max="22" width="9.140625" customWidth="1"/>
  </cols>
  <sheetData>
    <row r="1" spans="1:33" x14ac:dyDescent="0.25">
      <c r="B1" s="2"/>
      <c r="C1" s="2"/>
      <c r="D1" s="2"/>
      <c r="E1" s="3" t="s">
        <v>2</v>
      </c>
      <c r="F1" s="2"/>
      <c r="G1" s="2"/>
      <c r="H1" s="2"/>
      <c r="I1" s="2"/>
      <c r="J1" s="2"/>
      <c r="K1" s="2"/>
      <c r="L1" s="2"/>
    </row>
    <row r="2" spans="1:33" x14ac:dyDescent="0.25">
      <c r="B2" s="2"/>
      <c r="C2" s="2"/>
      <c r="D2" s="2"/>
      <c r="E2" s="3" t="s">
        <v>26</v>
      </c>
      <c r="F2" s="2"/>
      <c r="G2" s="2"/>
      <c r="H2" s="6">
        <v>0.2</v>
      </c>
      <c r="I2" s="2"/>
      <c r="J2" s="2"/>
      <c r="K2" s="2"/>
      <c r="L2" s="2"/>
    </row>
    <row r="3" spans="1:33" x14ac:dyDescent="0.25">
      <c r="B3" s="2"/>
      <c r="C3" s="2"/>
      <c r="D3" s="2"/>
      <c r="E3" s="4">
        <v>1</v>
      </c>
      <c r="F3" s="4">
        <v>5</v>
      </c>
      <c r="G3" s="4">
        <v>4</v>
      </c>
      <c r="H3" s="4">
        <v>3</v>
      </c>
      <c r="I3" s="4">
        <v>16</v>
      </c>
      <c r="J3" s="4">
        <v>16</v>
      </c>
      <c r="K3" s="4">
        <v>19.5</v>
      </c>
      <c r="L3" s="4">
        <v>21</v>
      </c>
      <c r="O3" s="4">
        <v>1</v>
      </c>
      <c r="P3" s="4">
        <v>5</v>
      </c>
      <c r="Q3" s="4">
        <v>4</v>
      </c>
      <c r="R3" s="4">
        <v>3</v>
      </c>
      <c r="S3" s="4">
        <v>16</v>
      </c>
      <c r="T3" s="4">
        <v>16</v>
      </c>
      <c r="U3" s="4">
        <v>19.5</v>
      </c>
      <c r="V3" s="4">
        <v>21</v>
      </c>
      <c r="AG3" s="1" t="str">
        <f t="shared" ref="AG3:AG19" si="0">B7&amp;"-"&amp;C7</f>
        <v>1-1</v>
      </c>
    </row>
    <row r="4" spans="1:33" x14ac:dyDescent="0.25">
      <c r="B4" s="2"/>
      <c r="C4" s="2"/>
      <c r="D4" s="2"/>
      <c r="E4" s="4">
        <v>1</v>
      </c>
      <c r="F4" s="4">
        <v>4</v>
      </c>
      <c r="G4" s="4">
        <v>3</v>
      </c>
      <c r="H4" s="4">
        <v>2</v>
      </c>
      <c r="I4" s="4">
        <v>10</v>
      </c>
      <c r="J4" s="4">
        <v>9</v>
      </c>
      <c r="K4" s="4">
        <v>9</v>
      </c>
      <c r="L4" s="4">
        <v>9</v>
      </c>
      <c r="O4" s="4">
        <v>1</v>
      </c>
      <c r="P4" s="4">
        <v>4</v>
      </c>
      <c r="Q4" s="4">
        <v>3</v>
      </c>
      <c r="R4" s="4">
        <v>2</v>
      </c>
      <c r="S4" s="4">
        <v>10</v>
      </c>
      <c r="T4" s="4">
        <v>9</v>
      </c>
      <c r="U4" s="4">
        <v>9</v>
      </c>
      <c r="V4" s="4">
        <v>9</v>
      </c>
      <c r="AG4" s="1" t="str">
        <f t="shared" si="0"/>
        <v>1-2</v>
      </c>
    </row>
    <row r="5" spans="1:33" x14ac:dyDescent="0.25">
      <c r="D5" s="4" t="s">
        <v>0</v>
      </c>
      <c r="E5" s="4">
        <v>720</v>
      </c>
      <c r="F5" s="4">
        <v>900</v>
      </c>
      <c r="G5" s="4">
        <v>960</v>
      </c>
      <c r="H5" s="4">
        <v>1080</v>
      </c>
      <c r="I5" s="4">
        <v>1152</v>
      </c>
      <c r="J5" s="4">
        <v>1280</v>
      </c>
      <c r="K5" s="4">
        <v>1560</v>
      </c>
      <c r="L5" s="4">
        <v>1680</v>
      </c>
      <c r="AG5" s="1" t="str">
        <f t="shared" si="0"/>
        <v>2-3</v>
      </c>
    </row>
    <row r="6" spans="1:33" x14ac:dyDescent="0.25">
      <c r="B6" s="2" t="s">
        <v>0</v>
      </c>
      <c r="C6" s="2" t="s">
        <v>1</v>
      </c>
      <c r="D6" s="4" t="s">
        <v>1</v>
      </c>
      <c r="E6" s="4">
        <v>720</v>
      </c>
      <c r="F6" s="4">
        <v>720</v>
      </c>
      <c r="G6" s="4">
        <v>720</v>
      </c>
      <c r="H6" s="4">
        <v>720</v>
      </c>
      <c r="I6" s="4">
        <v>720</v>
      </c>
      <c r="J6" s="4">
        <v>720</v>
      </c>
      <c r="K6" s="4">
        <v>720</v>
      </c>
      <c r="L6" s="4">
        <v>720</v>
      </c>
      <c r="O6" t="str">
        <f>xml!M2</f>
        <v>752-1440</v>
      </c>
      <c r="P6" t="s">
        <v>23</v>
      </c>
      <c r="AG6" s="1" t="str">
        <f t="shared" si="0"/>
        <v>3-4</v>
      </c>
    </row>
    <row r="7" spans="1:33" x14ac:dyDescent="0.25">
      <c r="A7">
        <f>B7/C7</f>
        <v>1</v>
      </c>
      <c r="B7" s="4">
        <v>1</v>
      </c>
      <c r="C7" s="4">
        <v>1</v>
      </c>
      <c r="E7">
        <f>$H$2*E$6*$B7/$C7/E$5</f>
        <v>0.2</v>
      </c>
      <c r="F7">
        <f t="shared" ref="F7:L7" si="1">$H$2*F$6*$B7/$C7/F$5</f>
        <v>0.16</v>
      </c>
      <c r="G7">
        <f t="shared" si="1"/>
        <v>0.15</v>
      </c>
      <c r="H7">
        <f t="shared" si="1"/>
        <v>0.13333333333333333</v>
      </c>
      <c r="I7">
        <f t="shared" si="1"/>
        <v>0.125</v>
      </c>
      <c r="J7">
        <f t="shared" si="1"/>
        <v>0.1125</v>
      </c>
      <c r="K7">
        <f t="shared" si="1"/>
        <v>9.2307692307692313E-2</v>
      </c>
      <c r="L7">
        <f t="shared" si="1"/>
        <v>8.5714285714285715E-2</v>
      </c>
      <c r="O7" t="str">
        <f ca="1">"&lt;itemSize&gt;"&amp;(OFFSET(E$7,(MATCH($O$6,$AG$3:$AG$19,0)-1),0))&amp;" "&amp;$H$2&amp;"&lt;/itemSize&gt;"</f>
        <v>&lt;itemSize&gt;0.104444444444444 0.2&lt;/itemSize&gt;</v>
      </c>
      <c r="P7" t="str">
        <f t="shared" ref="P7:V7" ca="1" si="2">"&lt;itemSize&gt;"&amp;(OFFSET(F$7,(MATCH($O$6,$AG$3:$AG$19,0)-1),0))&amp;" "&amp;$H$2&amp;"&lt;/itemSize&gt;"</f>
        <v>&lt;itemSize&gt;0.0835555555555556 0.2&lt;/itemSize&gt;</v>
      </c>
      <c r="Q7" t="str">
        <f t="shared" ca="1" si="2"/>
        <v>&lt;itemSize&gt;0.0783333333333333 0.2&lt;/itemSize&gt;</v>
      </c>
      <c r="R7" t="str">
        <f t="shared" ca="1" si="2"/>
        <v>&lt;itemSize&gt;0.0696296296296296 0.2&lt;/itemSize&gt;</v>
      </c>
      <c r="S7" t="str">
        <f t="shared" ca="1" si="2"/>
        <v>&lt;itemSize&gt;0.0652777777777778 0.2&lt;/itemSize&gt;</v>
      </c>
      <c r="T7" t="str">
        <f t="shared" ca="1" si="2"/>
        <v>&lt;itemSize&gt;0.05875 0.2&lt;/itemSize&gt;</v>
      </c>
      <c r="U7" t="str">
        <f t="shared" ca="1" si="2"/>
        <v>&lt;itemSize&gt;0.0482051282051282 0.2&lt;/itemSize&gt;</v>
      </c>
      <c r="V7" t="str">
        <f t="shared" ca="1" si="2"/>
        <v>&lt;itemSize&gt;0.0447619047619048 0.2&lt;/itemSize&gt;</v>
      </c>
      <c r="W7" s="4"/>
      <c r="X7" s="4"/>
      <c r="Y7" s="4"/>
      <c r="Z7" s="4"/>
      <c r="AA7" s="4"/>
      <c r="AB7" s="4"/>
      <c r="AC7" s="4"/>
      <c r="AE7" s="4"/>
      <c r="AF7" s="4"/>
      <c r="AG7" s="1" t="str">
        <f t="shared" si="0"/>
        <v>3-5</v>
      </c>
    </row>
    <row r="8" spans="1:33" x14ac:dyDescent="0.25">
      <c r="A8">
        <f t="shared" ref="A8:A23" si="3">B8/C8</f>
        <v>0.5</v>
      </c>
      <c r="B8" s="4">
        <v>1</v>
      </c>
      <c r="C8" s="4">
        <v>2</v>
      </c>
      <c r="E8">
        <f t="shared" ref="E8:L23" si="4">$H$2*E$6*$B8/$C8/E$5</f>
        <v>0.1</v>
      </c>
      <c r="F8">
        <f t="shared" si="4"/>
        <v>0.08</v>
      </c>
      <c r="G8">
        <f t="shared" si="4"/>
        <v>7.4999999999999997E-2</v>
      </c>
      <c r="H8">
        <f t="shared" si="4"/>
        <v>6.6666666666666666E-2</v>
      </c>
      <c r="I8">
        <f t="shared" si="4"/>
        <v>6.25E-2</v>
      </c>
      <c r="J8">
        <f t="shared" si="4"/>
        <v>5.6250000000000001E-2</v>
      </c>
      <c r="K8">
        <f t="shared" si="4"/>
        <v>4.6153846153846156E-2</v>
      </c>
      <c r="L8">
        <f t="shared" si="4"/>
        <v>4.2857142857142858E-2</v>
      </c>
      <c r="O8" t="str">
        <f ca="1">"&lt;selectedItemMargins&gt;0.5 "&amp;(OFFSET(E$31,(MATCH($O$6,$AG$3:$AG$19,0)-1),0))&amp;"&lt;/selectedItemMargins&gt;"</f>
        <v>&lt;selectedItemMargins&gt;0.5 0.0261111111111111&lt;/selectedItemMargins&gt;</v>
      </c>
      <c r="P8" t="str">
        <f t="shared" ref="P8:V8" ca="1" si="5">"&lt;selectedItemMargins&gt;0.5 "&amp;(OFFSET(F$31,(MATCH($O$6,$AG$3:$AG$19,0)-1),0))&amp;"&lt;/selectedItemMargins&gt;"</f>
        <v>&lt;selectedItemMargins&gt;0.5 0.0208888888888889&lt;/selectedItemMargins&gt;</v>
      </c>
      <c r="Q8" t="str">
        <f t="shared" ca="1" si="5"/>
        <v>&lt;selectedItemMargins&gt;0.5 0.0195833333333333&lt;/selectedItemMargins&gt;</v>
      </c>
      <c r="R8" t="str">
        <f t="shared" ca="1" si="5"/>
        <v>&lt;selectedItemMargins&gt;0.5 0.0174074074074074&lt;/selectedItemMargins&gt;</v>
      </c>
      <c r="S8" t="str">
        <f t="shared" ca="1" si="5"/>
        <v>&lt;selectedItemMargins&gt;0.5 0.0163194444444444&lt;/selectedItemMargins&gt;</v>
      </c>
      <c r="T8" t="str">
        <f t="shared" ca="1" si="5"/>
        <v>&lt;selectedItemMargins&gt;0.5 0.0146875&lt;/selectedItemMargins&gt;</v>
      </c>
      <c r="U8" t="str">
        <f t="shared" ca="1" si="5"/>
        <v>&lt;selectedItemMargins&gt;0.5 0.0120512820512821&lt;/selectedItemMargins&gt;</v>
      </c>
      <c r="V8" t="str">
        <f t="shared" ca="1" si="5"/>
        <v>&lt;selectedItemMargins&gt;0.5 0.0111904761904762&lt;/selectedItemMargins&gt;</v>
      </c>
      <c r="W8" s="4"/>
      <c r="X8" s="4"/>
      <c r="Y8" s="4"/>
      <c r="Z8" s="4"/>
      <c r="AA8" s="4"/>
      <c r="AB8" s="4"/>
      <c r="AC8" s="4"/>
      <c r="AE8" s="4"/>
      <c r="AF8" s="4"/>
      <c r="AG8" s="1" t="str">
        <f t="shared" si="0"/>
        <v>4-3</v>
      </c>
    </row>
    <row r="9" spans="1:33" x14ac:dyDescent="0.25">
      <c r="A9">
        <f t="shared" si="3"/>
        <v>0.66666666666666663</v>
      </c>
      <c r="B9" s="4">
        <v>2</v>
      </c>
      <c r="C9" s="4">
        <v>3</v>
      </c>
      <c r="E9">
        <f t="shared" si="4"/>
        <v>0.13333333333333333</v>
      </c>
      <c r="F9">
        <f t="shared" si="4"/>
        <v>0.10666666666666667</v>
      </c>
      <c r="G9">
        <f t="shared" si="4"/>
        <v>0.1</v>
      </c>
      <c r="H9">
        <f t="shared" si="4"/>
        <v>8.8888888888888892E-2</v>
      </c>
      <c r="I9">
        <f t="shared" si="4"/>
        <v>8.3333333333333329E-2</v>
      </c>
      <c r="J9">
        <f t="shared" si="4"/>
        <v>7.4999999999999997E-2</v>
      </c>
      <c r="K9">
        <f t="shared" si="4"/>
        <v>6.1538461538461542E-2</v>
      </c>
      <c r="L9">
        <f t="shared" si="4"/>
        <v>5.7142857142857141E-2</v>
      </c>
      <c r="O9" t="str">
        <f ca="1">"&lt;maxItemCount&gt;"&amp;(OFFSET(E$55,(MATCH($O$6,$AG$3:$AG$19,0)-1),0))&amp;"&lt;/maxItemCount&gt;"</f>
        <v>&lt;maxItemCount&gt;8.45070422535211&lt;/maxItemCount&gt;</v>
      </c>
      <c r="P9" t="str">
        <f t="shared" ref="P9:V9" ca="1" si="6">"&lt;maxItemCount&gt;"&amp;(OFFSET(F$55,(MATCH($O$6,$AG$3:$AG$19,0)-1),0))&amp;"&lt;/maxItemCount&gt;"</f>
        <v>&lt;maxItemCount&gt;10.5633802816901&lt;/maxItemCount&gt;</v>
      </c>
      <c r="Q9" t="str">
        <f t="shared" ca="1" si="6"/>
        <v>&lt;maxItemCount&gt;11.2676056338028&lt;/maxItemCount&gt;</v>
      </c>
      <c r="R9" t="str">
        <f t="shared" ca="1" si="6"/>
        <v>&lt;maxItemCount&gt;12.6760563380282&lt;/maxItemCount&gt;</v>
      </c>
      <c r="S9" t="str">
        <f t="shared" ca="1" si="6"/>
        <v>&lt;maxItemCount&gt;13.5211267605634&lt;/maxItemCount&gt;</v>
      </c>
      <c r="T9" t="str">
        <f t="shared" ca="1" si="6"/>
        <v>&lt;maxItemCount&gt;15.0234741784038&lt;/maxItemCount&gt;</v>
      </c>
      <c r="U9" t="str">
        <f t="shared" ca="1" si="6"/>
        <v>&lt;maxItemCount&gt;18.3098591549296&lt;/maxItemCount&gt;</v>
      </c>
      <c r="V9" t="str">
        <f t="shared" ca="1" si="6"/>
        <v>&lt;maxItemCount&gt;19.7183098591549&lt;/maxItemCount&gt;</v>
      </c>
      <c r="AG9" s="1" t="str">
        <f t="shared" si="0"/>
        <v>5-7</v>
      </c>
    </row>
    <row r="10" spans="1:33" x14ac:dyDescent="0.25">
      <c r="A10">
        <f t="shared" si="3"/>
        <v>0.75</v>
      </c>
      <c r="B10" s="4">
        <v>3</v>
      </c>
      <c r="C10" s="4">
        <v>4</v>
      </c>
      <c r="E10">
        <f t="shared" si="4"/>
        <v>0.15</v>
      </c>
      <c r="F10">
        <f t="shared" si="4"/>
        <v>0.12</v>
      </c>
      <c r="G10">
        <f t="shared" si="4"/>
        <v>0.1125</v>
      </c>
      <c r="H10">
        <f t="shared" si="4"/>
        <v>0.1</v>
      </c>
      <c r="I10">
        <f t="shared" si="4"/>
        <v>9.375E-2</v>
      </c>
      <c r="J10">
        <f t="shared" si="4"/>
        <v>8.4375000000000006E-2</v>
      </c>
      <c r="K10">
        <f t="shared" si="4"/>
        <v>6.9230769230769235E-2</v>
      </c>
      <c r="L10">
        <f t="shared" si="4"/>
        <v>6.4285714285714279E-2</v>
      </c>
      <c r="O10" t="str">
        <f ca="1">"&lt;horizontalOffset&gt;"&amp;(OFFSET(E$79,(MATCH($O$6,$AG$3:$AG$19,0)-1),0))&amp;"&lt;/horizontalOffset&gt;"</f>
        <v>&lt;horizontalOffset&gt;-0.0216666666666667&lt;/horizontalOffset&gt;</v>
      </c>
      <c r="P10" t="str">
        <f t="shared" ref="P10:V10" ca="1" si="7">"&lt;horizontalOffset&gt;"&amp;(OFFSET(F$79,(MATCH($O$6,$AG$3:$AG$19,0)-1),0))&amp;"&lt;/horizontalOffset&gt;"</f>
        <v>&lt;horizontalOffset&gt;-0.0373333333333333&lt;/horizontalOffset&gt;</v>
      </c>
      <c r="Q10" t="str">
        <f t="shared" ca="1" si="7"/>
        <v>&lt;horizontalOffset&gt;-0.04125&lt;/horizontalOffset&gt;</v>
      </c>
      <c r="R10" t="str">
        <f t="shared" ca="1" si="7"/>
        <v>&lt;horizontalOffset&gt;-0.0477777777777778&lt;/horizontalOffset&gt;</v>
      </c>
      <c r="S10" t="str">
        <f t="shared" ca="1" si="7"/>
        <v>&lt;horizontalOffset&gt;-0.0510416666666667&lt;/horizontalOffset&gt;</v>
      </c>
      <c r="T10" t="str">
        <f t="shared" ca="1" si="7"/>
        <v>&lt;horizontalOffset&gt;-0.0559375&lt;/horizontalOffset&gt;</v>
      </c>
      <c r="U10" t="str">
        <f t="shared" ca="1" si="7"/>
        <v>&lt;horizontalOffset&gt;-0.0638461538461539&lt;/horizontalOffset&gt;</v>
      </c>
      <c r="V10" t="str">
        <f t="shared" ca="1" si="7"/>
        <v>&lt;horizontalOffset&gt;-0.0664285714285714&lt;/horizontalOffset&gt;</v>
      </c>
      <c r="AG10" s="1" t="str">
        <f t="shared" si="0"/>
        <v>99-168</v>
      </c>
    </row>
    <row r="11" spans="1:33" x14ac:dyDescent="0.25">
      <c r="A11">
        <f t="shared" si="3"/>
        <v>0.6</v>
      </c>
      <c r="B11" s="4">
        <v>3</v>
      </c>
      <c r="C11" s="4">
        <v>5</v>
      </c>
      <c r="E11">
        <f t="shared" si="4"/>
        <v>0.12000000000000001</v>
      </c>
      <c r="F11">
        <f t="shared" si="4"/>
        <v>9.6000000000000002E-2</v>
      </c>
      <c r="G11">
        <f t="shared" si="4"/>
        <v>9.0000000000000011E-2</v>
      </c>
      <c r="H11">
        <f t="shared" si="4"/>
        <v>0.08</v>
      </c>
      <c r="I11">
        <f t="shared" si="4"/>
        <v>7.5000000000000011E-2</v>
      </c>
      <c r="J11">
        <f t="shared" si="4"/>
        <v>6.7500000000000004E-2</v>
      </c>
      <c r="K11">
        <f t="shared" si="4"/>
        <v>5.5384615384615386E-2</v>
      </c>
      <c r="L11">
        <f t="shared" si="4"/>
        <v>5.1428571428571435E-2</v>
      </c>
      <c r="O11" s="5" t="str">
        <f>"&lt;itemScale&gt;"&amp;$L$26&amp;"&lt;/itemScale&gt;"</f>
        <v>&lt;itemScale&gt;1.5&lt;/itemScale&gt;</v>
      </c>
      <c r="P11" s="5" t="str">
        <f t="shared" ref="P11:V11" si="8">"&lt;itemScale&gt;"&amp;$L$26&amp;"&lt;/itemScale&gt;"</f>
        <v>&lt;itemScale&gt;1.5&lt;/itemScale&gt;</v>
      </c>
      <c r="Q11" s="5" t="str">
        <f t="shared" si="8"/>
        <v>&lt;itemScale&gt;1.5&lt;/itemScale&gt;</v>
      </c>
      <c r="R11" s="5" t="str">
        <f t="shared" si="8"/>
        <v>&lt;itemScale&gt;1.5&lt;/itemScale&gt;</v>
      </c>
      <c r="S11" s="5" t="str">
        <f t="shared" si="8"/>
        <v>&lt;itemScale&gt;1.5&lt;/itemScale&gt;</v>
      </c>
      <c r="T11" s="5" t="str">
        <f t="shared" si="8"/>
        <v>&lt;itemScale&gt;1.5&lt;/itemScale&gt;</v>
      </c>
      <c r="U11" s="5" t="str">
        <f t="shared" si="8"/>
        <v>&lt;itemScale&gt;1.5&lt;/itemScale&gt;</v>
      </c>
      <c r="V11" s="5" t="str">
        <f t="shared" si="8"/>
        <v>&lt;itemScale&gt;1.5&lt;/itemScale&gt;</v>
      </c>
      <c r="AG11" s="1" t="str">
        <f t="shared" si="0"/>
        <v>105-170</v>
      </c>
    </row>
    <row r="12" spans="1:33" x14ac:dyDescent="0.25">
      <c r="A12">
        <f t="shared" si="3"/>
        <v>1.3333333333333333</v>
      </c>
      <c r="B12" s="4">
        <v>4</v>
      </c>
      <c r="C12" s="4">
        <v>3</v>
      </c>
      <c r="E12">
        <f t="shared" si="4"/>
        <v>0.26666666666666666</v>
      </c>
      <c r="F12">
        <f t="shared" si="4"/>
        <v>0.21333333333333335</v>
      </c>
      <c r="G12">
        <f t="shared" si="4"/>
        <v>0.2</v>
      </c>
      <c r="H12">
        <f t="shared" si="4"/>
        <v>0.17777777777777778</v>
      </c>
      <c r="I12">
        <f t="shared" si="4"/>
        <v>0.16666666666666666</v>
      </c>
      <c r="J12">
        <f t="shared" si="4"/>
        <v>0.15</v>
      </c>
      <c r="K12">
        <f t="shared" si="4"/>
        <v>0.12307692307692308</v>
      </c>
      <c r="L12">
        <f t="shared" si="4"/>
        <v>0.11428571428571428</v>
      </c>
      <c r="AG12" s="1" t="str">
        <f t="shared" si="0"/>
        <v>112-67</v>
      </c>
    </row>
    <row r="13" spans="1:33" x14ac:dyDescent="0.25">
      <c r="A13">
        <f t="shared" si="3"/>
        <v>0.7142857142857143</v>
      </c>
      <c r="B13" s="4">
        <v>5</v>
      </c>
      <c r="C13" s="4">
        <v>7</v>
      </c>
      <c r="E13">
        <f t="shared" si="4"/>
        <v>0.14285714285714285</v>
      </c>
      <c r="F13">
        <f t="shared" si="4"/>
        <v>0.1142857142857143</v>
      </c>
      <c r="G13">
        <f t="shared" si="4"/>
        <v>0.10714285714285715</v>
      </c>
      <c r="H13">
        <f t="shared" si="4"/>
        <v>9.5238095238095247E-2</v>
      </c>
      <c r="I13">
        <f t="shared" si="4"/>
        <v>8.9285714285714288E-2</v>
      </c>
      <c r="J13">
        <f t="shared" si="4"/>
        <v>8.0357142857142863E-2</v>
      </c>
      <c r="K13">
        <f t="shared" si="4"/>
        <v>6.5934065934065936E-2</v>
      </c>
      <c r="L13">
        <f t="shared" si="4"/>
        <v>6.1224489795918373E-2</v>
      </c>
      <c r="AG13" s="1" t="str">
        <f t="shared" si="0"/>
        <v>135-172</v>
      </c>
    </row>
    <row r="14" spans="1:33" x14ac:dyDescent="0.25">
      <c r="A14">
        <f t="shared" si="3"/>
        <v>0.5892857142857143</v>
      </c>
      <c r="B14" s="4">
        <v>99</v>
      </c>
      <c r="C14" s="4">
        <v>168</v>
      </c>
      <c r="E14">
        <f t="shared" si="4"/>
        <v>0.11785714285714287</v>
      </c>
      <c r="F14">
        <f t="shared" si="4"/>
        <v>9.4285714285714292E-2</v>
      </c>
      <c r="G14">
        <f t="shared" si="4"/>
        <v>8.8392857142857148E-2</v>
      </c>
      <c r="H14">
        <f t="shared" si="4"/>
        <v>7.857142857142857E-2</v>
      </c>
      <c r="I14">
        <f t="shared" si="4"/>
        <v>7.3660714285714288E-2</v>
      </c>
      <c r="J14">
        <f t="shared" si="4"/>
        <v>6.6294642857142858E-2</v>
      </c>
      <c r="K14">
        <f t="shared" si="4"/>
        <v>5.4395604395604397E-2</v>
      </c>
      <c r="L14">
        <f t="shared" si="4"/>
        <v>5.0510204081632655E-2</v>
      </c>
      <c r="AG14" s="1" t="str">
        <f t="shared" si="0"/>
        <v>143-207</v>
      </c>
    </row>
    <row r="15" spans="1:33" x14ac:dyDescent="0.25">
      <c r="A15">
        <f t="shared" si="3"/>
        <v>0.61764705882352944</v>
      </c>
      <c r="B15" s="4">
        <v>105</v>
      </c>
      <c r="C15" s="4">
        <v>170</v>
      </c>
      <c r="E15">
        <f t="shared" si="4"/>
        <v>0.12352941176470587</v>
      </c>
      <c r="F15">
        <f t="shared" si="4"/>
        <v>9.8823529411764699E-2</v>
      </c>
      <c r="G15">
        <f t="shared" si="4"/>
        <v>9.2647058823529402E-2</v>
      </c>
      <c r="H15">
        <f t="shared" si="4"/>
        <v>8.2352941176470587E-2</v>
      </c>
      <c r="I15">
        <f t="shared" si="4"/>
        <v>7.720588235294118E-2</v>
      </c>
      <c r="J15">
        <f t="shared" si="4"/>
        <v>6.9485294117647062E-2</v>
      </c>
      <c r="K15">
        <f t="shared" si="4"/>
        <v>5.7013574660633483E-2</v>
      </c>
      <c r="L15">
        <f t="shared" si="4"/>
        <v>5.2941176470588235E-2</v>
      </c>
      <c r="AG15" s="1" t="str">
        <f t="shared" si="0"/>
        <v>145-205</v>
      </c>
    </row>
    <row r="16" spans="1:33" x14ac:dyDescent="0.25">
      <c r="A16">
        <f t="shared" si="3"/>
        <v>1.6716417910447761</v>
      </c>
      <c r="B16" s="4">
        <v>112</v>
      </c>
      <c r="C16" s="4">
        <v>67</v>
      </c>
      <c r="E16">
        <f t="shared" si="4"/>
        <v>0.33432835820895523</v>
      </c>
      <c r="F16">
        <f t="shared" si="4"/>
        <v>0.26746268656716421</v>
      </c>
      <c r="G16">
        <f t="shared" si="4"/>
        <v>0.25074626865671645</v>
      </c>
      <c r="H16">
        <f t="shared" si="4"/>
        <v>0.22288557213930349</v>
      </c>
      <c r="I16">
        <f t="shared" si="4"/>
        <v>0.20895522388059704</v>
      </c>
      <c r="J16">
        <f t="shared" si="4"/>
        <v>0.18805970149253731</v>
      </c>
      <c r="K16">
        <f t="shared" si="4"/>
        <v>0.15430539609644089</v>
      </c>
      <c r="L16">
        <f t="shared" si="4"/>
        <v>0.14328358208955225</v>
      </c>
      <c r="O16" s="4"/>
      <c r="P16" s="4"/>
      <c r="AG16" s="1" t="str">
        <f t="shared" si="0"/>
        <v>243-340</v>
      </c>
    </row>
    <row r="17" spans="1:33" x14ac:dyDescent="0.25">
      <c r="A17">
        <f t="shared" si="3"/>
        <v>0.78488372093023251</v>
      </c>
      <c r="B17" s="4">
        <v>135</v>
      </c>
      <c r="C17" s="4">
        <v>172</v>
      </c>
      <c r="E17">
        <f t="shared" si="4"/>
        <v>0.15697674418604651</v>
      </c>
      <c r="F17">
        <f t="shared" si="4"/>
        <v>0.12558139534883719</v>
      </c>
      <c r="G17">
        <f t="shared" si="4"/>
        <v>0.11773255813953488</v>
      </c>
      <c r="H17">
        <f t="shared" si="4"/>
        <v>0.10465116279069767</v>
      </c>
      <c r="I17">
        <f t="shared" si="4"/>
        <v>9.8110465116279064E-2</v>
      </c>
      <c r="J17">
        <f t="shared" si="4"/>
        <v>8.8299418604651153E-2</v>
      </c>
      <c r="K17">
        <f t="shared" si="4"/>
        <v>7.2450805008944547E-2</v>
      </c>
      <c r="L17">
        <f t="shared" si="4"/>
        <v>6.7275747508305644E-2</v>
      </c>
      <c r="AG17" s="1" t="str">
        <f t="shared" si="0"/>
        <v>257-229</v>
      </c>
    </row>
    <row r="18" spans="1:33" x14ac:dyDescent="0.25">
      <c r="A18">
        <f t="shared" si="3"/>
        <v>0.6908212560386473</v>
      </c>
      <c r="B18" s="4">
        <v>143</v>
      </c>
      <c r="C18" s="4">
        <v>207</v>
      </c>
      <c r="E18">
        <f t="shared" si="4"/>
        <v>0.13816425120772946</v>
      </c>
      <c r="F18">
        <f t="shared" si="4"/>
        <v>0.11053140096618358</v>
      </c>
      <c r="G18">
        <f t="shared" si="4"/>
        <v>0.10362318840579711</v>
      </c>
      <c r="H18">
        <f t="shared" si="4"/>
        <v>9.2109500805152983E-2</v>
      </c>
      <c r="I18">
        <f t="shared" si="4"/>
        <v>8.6352657004830913E-2</v>
      </c>
      <c r="J18">
        <f t="shared" si="4"/>
        <v>7.7717391304347822E-2</v>
      </c>
      <c r="K18">
        <f t="shared" si="4"/>
        <v>6.3768115942028983E-2</v>
      </c>
      <c r="L18">
        <f t="shared" si="4"/>
        <v>5.9213250517598341E-2</v>
      </c>
      <c r="AG18" s="1" t="str">
        <f t="shared" si="0"/>
        <v>373-436</v>
      </c>
    </row>
    <row r="19" spans="1:33" x14ac:dyDescent="0.25">
      <c r="A19">
        <f t="shared" si="3"/>
        <v>0.70731707317073167</v>
      </c>
      <c r="B19" s="4">
        <v>145</v>
      </c>
      <c r="C19" s="4">
        <v>205</v>
      </c>
      <c r="E19">
        <f t="shared" si="4"/>
        <v>0.14146341463414636</v>
      </c>
      <c r="F19">
        <f t="shared" si="4"/>
        <v>0.11317073170731708</v>
      </c>
      <c r="G19">
        <f t="shared" si="4"/>
        <v>0.10609756097560977</v>
      </c>
      <c r="H19">
        <f>$H$2*H$6*$B19/$C19/H$5</f>
        <v>9.4308943089430899E-2</v>
      </c>
      <c r="I19">
        <f t="shared" si="4"/>
        <v>8.8414634146341473E-2</v>
      </c>
      <c r="J19">
        <f t="shared" si="4"/>
        <v>7.9573170731707318E-2</v>
      </c>
      <c r="K19">
        <f t="shared" si="4"/>
        <v>6.5290806754221387E-2</v>
      </c>
      <c r="L19">
        <f t="shared" si="4"/>
        <v>6.0627177700348436E-2</v>
      </c>
      <c r="AG19" s="1" t="str">
        <f t="shared" si="0"/>
        <v>752-1440</v>
      </c>
    </row>
    <row r="20" spans="1:33" x14ac:dyDescent="0.25">
      <c r="A20">
        <f t="shared" si="3"/>
        <v>0.71470588235294119</v>
      </c>
      <c r="B20" s="4">
        <v>243</v>
      </c>
      <c r="C20" s="4">
        <v>340</v>
      </c>
      <c r="E20">
        <f t="shared" si="4"/>
        <v>0.14294117647058824</v>
      </c>
      <c r="F20">
        <f t="shared" si="4"/>
        <v>0.11435294117647059</v>
      </c>
      <c r="G20">
        <f t="shared" si="4"/>
        <v>0.10720588235294118</v>
      </c>
      <c r="H20">
        <f t="shared" si="4"/>
        <v>9.5294117647058821E-2</v>
      </c>
      <c r="I20">
        <f t="shared" si="4"/>
        <v>8.9338235294117649E-2</v>
      </c>
      <c r="J20">
        <f t="shared" si="4"/>
        <v>8.0404411764705891E-2</v>
      </c>
      <c r="K20">
        <f t="shared" si="4"/>
        <v>6.5972850678733028E-2</v>
      </c>
      <c r="L20">
        <f t="shared" si="4"/>
        <v>6.1260504201680673E-2</v>
      </c>
    </row>
    <row r="21" spans="1:33" x14ac:dyDescent="0.25">
      <c r="A21">
        <f t="shared" si="3"/>
        <v>1.1222707423580787</v>
      </c>
      <c r="B21" s="4">
        <v>257</v>
      </c>
      <c r="C21" s="4">
        <v>229</v>
      </c>
      <c r="E21">
        <f t="shared" si="4"/>
        <v>0.22445414847161571</v>
      </c>
      <c r="F21">
        <f t="shared" si="4"/>
        <v>0.17956331877729256</v>
      </c>
      <c r="G21">
        <f t="shared" si="4"/>
        <v>0.16834061135371178</v>
      </c>
      <c r="H21">
        <f t="shared" si="4"/>
        <v>0.14963609898107713</v>
      </c>
      <c r="I21">
        <f t="shared" si="4"/>
        <v>0.14028384279475981</v>
      </c>
      <c r="J21">
        <f t="shared" si="4"/>
        <v>0.12625545851528383</v>
      </c>
      <c r="K21">
        <f t="shared" si="4"/>
        <v>0.10359422237151494</v>
      </c>
      <c r="L21">
        <f t="shared" si="4"/>
        <v>9.6194635059263872E-2</v>
      </c>
      <c r="O21" s="4"/>
      <c r="P21" s="4"/>
    </row>
    <row r="22" spans="1:33" x14ac:dyDescent="0.25">
      <c r="A22">
        <f t="shared" si="3"/>
        <v>0.85550458715596334</v>
      </c>
      <c r="B22" s="4">
        <v>373</v>
      </c>
      <c r="C22" s="4">
        <v>436</v>
      </c>
      <c r="E22">
        <f t="shared" si="4"/>
        <v>0.17110091743119266</v>
      </c>
      <c r="F22">
        <f t="shared" si="4"/>
        <v>0.13688073394495412</v>
      </c>
      <c r="G22">
        <f t="shared" si="4"/>
        <v>0.12832568807339448</v>
      </c>
      <c r="H22">
        <f t="shared" si="4"/>
        <v>0.11406727828746177</v>
      </c>
      <c r="I22">
        <f t="shared" si="4"/>
        <v>0.1069380733944954</v>
      </c>
      <c r="J22">
        <f t="shared" si="4"/>
        <v>9.6244266055045866E-2</v>
      </c>
      <c r="K22">
        <f t="shared" si="4"/>
        <v>7.8969654199011988E-2</v>
      </c>
      <c r="L22">
        <f t="shared" si="4"/>
        <v>7.3328964613368283E-2</v>
      </c>
    </row>
    <row r="23" spans="1:33" x14ac:dyDescent="0.25">
      <c r="A23">
        <f t="shared" si="3"/>
        <v>0.52222222222222225</v>
      </c>
      <c r="B23" s="4">
        <v>752</v>
      </c>
      <c r="C23" s="4">
        <v>1440</v>
      </c>
      <c r="E23">
        <f t="shared" si="4"/>
        <v>0.10444444444444445</v>
      </c>
      <c r="F23">
        <f t="shared" si="4"/>
        <v>8.3555555555555563E-2</v>
      </c>
      <c r="G23">
        <f t="shared" si="4"/>
        <v>7.8333333333333338E-2</v>
      </c>
      <c r="H23">
        <f t="shared" si="4"/>
        <v>6.9629629629629639E-2</v>
      </c>
      <c r="I23">
        <f t="shared" si="4"/>
        <v>6.5277777777777782E-2</v>
      </c>
      <c r="J23">
        <f t="shared" si="4"/>
        <v>5.8750000000000004E-2</v>
      </c>
      <c r="K23">
        <f t="shared" si="4"/>
        <v>4.8205128205128206E-2</v>
      </c>
      <c r="L23">
        <f t="shared" si="4"/>
        <v>4.4761904761904767E-2</v>
      </c>
    </row>
    <row r="26" spans="1:33" x14ac:dyDescent="0.25">
      <c r="E26" s="3" t="s">
        <v>27</v>
      </c>
      <c r="H26" s="7">
        <v>10</v>
      </c>
      <c r="I26" t="s">
        <v>3</v>
      </c>
      <c r="J26" s="8" t="s">
        <v>4</v>
      </c>
      <c r="L26" s="7">
        <v>1.5</v>
      </c>
      <c r="O26" s="4"/>
      <c r="P26" s="4"/>
    </row>
    <row r="27" spans="1:33" x14ac:dyDescent="0.25">
      <c r="E27" s="4">
        <v>1</v>
      </c>
      <c r="F27" s="4">
        <v>5</v>
      </c>
      <c r="G27" s="4">
        <v>4</v>
      </c>
      <c r="H27" s="4">
        <v>3</v>
      </c>
      <c r="I27" s="4">
        <v>16</v>
      </c>
      <c r="J27" s="4">
        <v>16</v>
      </c>
      <c r="K27" s="4">
        <v>19.5</v>
      </c>
      <c r="L27" s="4">
        <v>21</v>
      </c>
    </row>
    <row r="28" spans="1:33" x14ac:dyDescent="0.25">
      <c r="E28" s="4">
        <v>1</v>
      </c>
      <c r="F28" s="4">
        <v>4</v>
      </c>
      <c r="G28" s="4">
        <v>3</v>
      </c>
      <c r="H28" s="4">
        <v>2</v>
      </c>
      <c r="I28" s="4">
        <v>10</v>
      </c>
      <c r="J28" s="4">
        <v>9</v>
      </c>
      <c r="K28" s="4">
        <v>9</v>
      </c>
      <c r="L28" s="4">
        <v>9</v>
      </c>
    </row>
    <row r="29" spans="1:33" x14ac:dyDescent="0.25">
      <c r="B29" s="2"/>
      <c r="C29" s="2"/>
      <c r="D29" s="4" t="s">
        <v>0</v>
      </c>
      <c r="E29" s="4">
        <v>720</v>
      </c>
      <c r="F29" s="4">
        <v>900</v>
      </c>
      <c r="G29" s="4">
        <v>960</v>
      </c>
      <c r="H29" s="4">
        <v>1080</v>
      </c>
      <c r="I29" s="4">
        <v>1152</v>
      </c>
      <c r="J29" s="4">
        <v>1280</v>
      </c>
      <c r="K29" s="4">
        <v>1560</v>
      </c>
      <c r="L29" s="4">
        <v>1680</v>
      </c>
    </row>
    <row r="30" spans="1:33" x14ac:dyDescent="0.25">
      <c r="B30" s="2" t="s">
        <v>0</v>
      </c>
      <c r="C30" s="2" t="s">
        <v>1</v>
      </c>
      <c r="D30" s="4" t="s">
        <v>1</v>
      </c>
      <c r="E30" s="4">
        <v>720</v>
      </c>
      <c r="F30" s="4">
        <v>720</v>
      </c>
      <c r="G30" s="4">
        <v>720</v>
      </c>
      <c r="H30" s="4">
        <v>720</v>
      </c>
      <c r="I30" s="4">
        <v>720</v>
      </c>
      <c r="J30" s="4">
        <v>720</v>
      </c>
      <c r="K30" s="4">
        <v>720</v>
      </c>
      <c r="L30" s="4">
        <v>720</v>
      </c>
    </row>
    <row r="31" spans="1:33" x14ac:dyDescent="0.25">
      <c r="B31" s="4">
        <v>1</v>
      </c>
      <c r="C31" s="4">
        <v>1</v>
      </c>
      <c r="E31">
        <f>(E7*$L$26/2)-(E7/2)</f>
        <v>5.0000000000000017E-2</v>
      </c>
      <c r="F31">
        <f t="shared" ref="F31:L31" si="9">(F7*$L$26/2)-(F7/2)</f>
        <v>3.9999999999999994E-2</v>
      </c>
      <c r="G31">
        <f t="shared" si="9"/>
        <v>3.7499999999999992E-2</v>
      </c>
      <c r="H31">
        <f t="shared" si="9"/>
        <v>3.333333333333334E-2</v>
      </c>
      <c r="I31">
        <f t="shared" si="9"/>
        <v>3.125E-2</v>
      </c>
      <c r="J31">
        <f t="shared" si="9"/>
        <v>2.8125000000000004E-2</v>
      </c>
      <c r="K31">
        <f t="shared" si="9"/>
        <v>2.3076923076923078E-2</v>
      </c>
      <c r="L31">
        <f t="shared" si="9"/>
        <v>2.1428571428571422E-2</v>
      </c>
      <c r="O31" s="4"/>
      <c r="P31" s="4"/>
    </row>
    <row r="32" spans="1:33" x14ac:dyDescent="0.25">
      <c r="B32" s="4">
        <v>1</v>
      </c>
      <c r="C32" s="4">
        <v>2</v>
      </c>
      <c r="E32">
        <f t="shared" ref="E32:L32" si="10">(E8*$L$26/2)-(E8/2)</f>
        <v>2.5000000000000008E-2</v>
      </c>
      <c r="F32">
        <f t="shared" si="10"/>
        <v>1.9999999999999997E-2</v>
      </c>
      <c r="G32">
        <f t="shared" si="10"/>
        <v>1.8749999999999996E-2</v>
      </c>
      <c r="H32">
        <f t="shared" si="10"/>
        <v>1.666666666666667E-2</v>
      </c>
      <c r="I32">
        <f t="shared" si="10"/>
        <v>1.5625E-2</v>
      </c>
      <c r="J32">
        <f t="shared" si="10"/>
        <v>1.4062500000000002E-2</v>
      </c>
      <c r="K32">
        <f t="shared" si="10"/>
        <v>1.1538461538461539E-2</v>
      </c>
      <c r="L32">
        <f t="shared" si="10"/>
        <v>1.0714285714285711E-2</v>
      </c>
    </row>
    <row r="33" spans="2:16" x14ac:dyDescent="0.25">
      <c r="B33" s="4">
        <v>2</v>
      </c>
      <c r="C33" s="4">
        <v>3</v>
      </c>
      <c r="E33">
        <f t="shared" ref="E33:L33" si="11">(E9*$L$26/2)-(E9/2)</f>
        <v>3.333333333333334E-2</v>
      </c>
      <c r="F33">
        <f t="shared" si="11"/>
        <v>2.6666666666666665E-2</v>
      </c>
      <c r="G33">
        <f t="shared" si="11"/>
        <v>2.5000000000000008E-2</v>
      </c>
      <c r="H33">
        <f t="shared" si="11"/>
        <v>2.222222222222222E-2</v>
      </c>
      <c r="I33">
        <f t="shared" si="11"/>
        <v>2.0833333333333336E-2</v>
      </c>
      <c r="J33">
        <f t="shared" si="11"/>
        <v>1.8749999999999996E-2</v>
      </c>
      <c r="K33">
        <f t="shared" si="11"/>
        <v>1.5384615384615385E-2</v>
      </c>
      <c r="L33">
        <f t="shared" si="11"/>
        <v>1.4285714285714287E-2</v>
      </c>
    </row>
    <row r="34" spans="2:16" x14ac:dyDescent="0.25">
      <c r="B34" s="4">
        <v>3</v>
      </c>
      <c r="C34" s="4">
        <v>4</v>
      </c>
      <c r="E34">
        <f t="shared" ref="E34:L34" si="12">(E10*$L$26/2)-(E10/2)</f>
        <v>3.7499999999999992E-2</v>
      </c>
      <c r="F34">
        <f t="shared" si="12"/>
        <v>0.03</v>
      </c>
      <c r="G34">
        <f t="shared" si="12"/>
        <v>2.8125000000000004E-2</v>
      </c>
      <c r="H34">
        <f t="shared" si="12"/>
        <v>2.5000000000000008E-2</v>
      </c>
      <c r="I34">
        <f t="shared" si="12"/>
        <v>2.34375E-2</v>
      </c>
      <c r="J34">
        <f t="shared" si="12"/>
        <v>2.1093750000000008E-2</v>
      </c>
      <c r="K34">
        <f t="shared" si="12"/>
        <v>1.7307692307692309E-2</v>
      </c>
      <c r="L34">
        <f t="shared" si="12"/>
        <v>1.607142857142857E-2</v>
      </c>
    </row>
    <row r="35" spans="2:16" x14ac:dyDescent="0.25">
      <c r="B35" s="4">
        <v>3</v>
      </c>
      <c r="C35" s="4">
        <v>5</v>
      </c>
      <c r="E35">
        <f t="shared" ref="E35:L35" si="13">(E11*$L$26/2)-(E11/2)</f>
        <v>3.0000000000000006E-2</v>
      </c>
      <c r="F35">
        <f t="shared" si="13"/>
        <v>2.4000000000000007E-2</v>
      </c>
      <c r="G35">
        <f t="shared" si="13"/>
        <v>2.2499999999999999E-2</v>
      </c>
      <c r="H35">
        <f t="shared" si="13"/>
        <v>1.9999999999999997E-2</v>
      </c>
      <c r="I35">
        <f t="shared" si="13"/>
        <v>1.8750000000000003E-2</v>
      </c>
      <c r="J35">
        <f t="shared" si="13"/>
        <v>1.6875000000000001E-2</v>
      </c>
      <c r="K35">
        <f t="shared" si="13"/>
        <v>1.3846153846153845E-2</v>
      </c>
      <c r="L35">
        <f t="shared" si="13"/>
        <v>1.2857142857142859E-2</v>
      </c>
    </row>
    <row r="36" spans="2:16" x14ac:dyDescent="0.25">
      <c r="B36" s="4">
        <v>4</v>
      </c>
      <c r="C36" s="4">
        <v>3</v>
      </c>
      <c r="E36">
        <f t="shared" ref="E36:L36" si="14">(E12*$L$26/2)-(E12/2)</f>
        <v>6.666666666666668E-2</v>
      </c>
      <c r="F36">
        <f t="shared" si="14"/>
        <v>5.333333333333333E-2</v>
      </c>
      <c r="G36">
        <f t="shared" si="14"/>
        <v>5.0000000000000017E-2</v>
      </c>
      <c r="H36">
        <f t="shared" si="14"/>
        <v>4.4444444444444439E-2</v>
      </c>
      <c r="I36">
        <f t="shared" si="14"/>
        <v>4.1666666666666671E-2</v>
      </c>
      <c r="J36">
        <f t="shared" si="14"/>
        <v>3.7499999999999992E-2</v>
      </c>
      <c r="K36">
        <f t="shared" si="14"/>
        <v>3.0769230769230771E-2</v>
      </c>
      <c r="L36">
        <f t="shared" si="14"/>
        <v>2.8571428571428574E-2</v>
      </c>
      <c r="O36" s="4"/>
      <c r="P36" s="4"/>
    </row>
    <row r="37" spans="2:16" x14ac:dyDescent="0.25">
      <c r="B37" s="4">
        <v>5</v>
      </c>
      <c r="C37" s="4">
        <v>7</v>
      </c>
      <c r="E37">
        <f t="shared" ref="E37:L37" si="15">(E13*$L$26/2)-(E13/2)</f>
        <v>3.5714285714285712E-2</v>
      </c>
      <c r="F37">
        <f t="shared" si="15"/>
        <v>2.8571428571428567E-2</v>
      </c>
      <c r="G37">
        <f t="shared" si="15"/>
        <v>2.6785714285714288E-2</v>
      </c>
      <c r="H37">
        <f t="shared" si="15"/>
        <v>2.3809523809523815E-2</v>
      </c>
      <c r="I37">
        <f t="shared" si="15"/>
        <v>2.2321428571428568E-2</v>
      </c>
      <c r="J37">
        <f t="shared" si="15"/>
        <v>2.0089285714285719E-2</v>
      </c>
      <c r="K37">
        <f t="shared" si="15"/>
        <v>1.6483516483516487E-2</v>
      </c>
      <c r="L37">
        <f t="shared" si="15"/>
        <v>1.5306122448979591E-2</v>
      </c>
    </row>
    <row r="38" spans="2:16" x14ac:dyDescent="0.25">
      <c r="B38" s="4">
        <v>99</v>
      </c>
      <c r="C38" s="4">
        <v>168</v>
      </c>
      <c r="E38">
        <f t="shared" ref="E38:L38" si="16">(E14*$L$26/2)-(E14/2)</f>
        <v>2.9464285714285714E-2</v>
      </c>
      <c r="F38">
        <f t="shared" si="16"/>
        <v>2.357142857142857E-2</v>
      </c>
      <c r="G38">
        <f t="shared" si="16"/>
        <v>2.2098214285714284E-2</v>
      </c>
      <c r="H38">
        <f t="shared" si="16"/>
        <v>1.9642857142857142E-2</v>
      </c>
      <c r="I38">
        <f t="shared" si="16"/>
        <v>1.8415178571428568E-2</v>
      </c>
      <c r="J38">
        <f t="shared" si="16"/>
        <v>1.6573660714285711E-2</v>
      </c>
      <c r="K38">
        <f t="shared" si="16"/>
        <v>1.3598901098901099E-2</v>
      </c>
      <c r="L38">
        <f t="shared" si="16"/>
        <v>1.2627551020408165E-2</v>
      </c>
    </row>
    <row r="39" spans="2:16" x14ac:dyDescent="0.25">
      <c r="B39" s="4">
        <v>105</v>
      </c>
      <c r="C39" s="4">
        <v>170</v>
      </c>
      <c r="E39">
        <f t="shared" ref="E39:L39" si="17">(E15*$L$26/2)-(E15/2)</f>
        <v>3.0882352941176465E-2</v>
      </c>
      <c r="F39">
        <f t="shared" si="17"/>
        <v>2.4705882352941175E-2</v>
      </c>
      <c r="G39">
        <f t="shared" si="17"/>
        <v>2.3161764705882347E-2</v>
      </c>
      <c r="H39">
        <f t="shared" si="17"/>
        <v>2.058823529411765E-2</v>
      </c>
      <c r="I39">
        <f t="shared" si="17"/>
        <v>1.9301470588235295E-2</v>
      </c>
      <c r="J39">
        <f t="shared" si="17"/>
        <v>1.7371323529411765E-2</v>
      </c>
      <c r="K39">
        <f t="shared" si="17"/>
        <v>1.4253393665158372E-2</v>
      </c>
      <c r="L39">
        <f t="shared" si="17"/>
        <v>1.3235294117647057E-2</v>
      </c>
    </row>
    <row r="40" spans="2:16" x14ac:dyDescent="0.25">
      <c r="B40" s="4">
        <v>112</v>
      </c>
      <c r="C40" s="4">
        <v>67</v>
      </c>
      <c r="E40">
        <f t="shared" ref="E40:L40" si="18">(E16*$L$26/2)-(E16/2)</f>
        <v>8.3582089552238836E-2</v>
      </c>
      <c r="F40">
        <f t="shared" si="18"/>
        <v>6.6865671641791052E-2</v>
      </c>
      <c r="G40">
        <f t="shared" si="18"/>
        <v>6.2686567164179113E-2</v>
      </c>
      <c r="H40">
        <f t="shared" si="18"/>
        <v>5.5721393034825872E-2</v>
      </c>
      <c r="I40">
        <f t="shared" si="18"/>
        <v>5.2238805970149252E-2</v>
      </c>
      <c r="J40">
        <f t="shared" si="18"/>
        <v>4.7014925373134314E-2</v>
      </c>
      <c r="K40">
        <f t="shared" si="18"/>
        <v>3.8576349024110224E-2</v>
      </c>
      <c r="L40">
        <f t="shared" si="18"/>
        <v>3.5820895522388055E-2</v>
      </c>
    </row>
    <row r="41" spans="2:16" x14ac:dyDescent="0.25">
      <c r="B41" s="4">
        <v>135</v>
      </c>
      <c r="C41" s="4">
        <v>172</v>
      </c>
      <c r="E41">
        <f t="shared" ref="E41:L41" si="19">(E17*$L$26/2)-(E17/2)</f>
        <v>3.9244186046511628E-2</v>
      </c>
      <c r="F41">
        <f t="shared" si="19"/>
        <v>3.1395348837209305E-2</v>
      </c>
      <c r="G41">
        <f t="shared" si="19"/>
        <v>2.9433139534883725E-2</v>
      </c>
      <c r="H41">
        <f t="shared" si="19"/>
        <v>2.6162790697674423E-2</v>
      </c>
      <c r="I41">
        <f t="shared" si="19"/>
        <v>2.4527616279069762E-2</v>
      </c>
      <c r="J41">
        <f t="shared" si="19"/>
        <v>2.2074854651162781E-2</v>
      </c>
      <c r="K41">
        <f t="shared" si="19"/>
        <v>1.8112701252236137E-2</v>
      </c>
      <c r="L41">
        <f t="shared" si="19"/>
        <v>1.6818936877076411E-2</v>
      </c>
      <c r="O41" s="4"/>
      <c r="P41" s="4"/>
    </row>
    <row r="42" spans="2:16" x14ac:dyDescent="0.25">
      <c r="B42" s="4">
        <v>143</v>
      </c>
      <c r="C42" s="4">
        <v>207</v>
      </c>
      <c r="E42">
        <f t="shared" ref="E42:L42" si="20">(E18*$L$26/2)-(E18/2)</f>
        <v>3.4541062801932365E-2</v>
      </c>
      <c r="F42">
        <f t="shared" si="20"/>
        <v>2.7632850241545895E-2</v>
      </c>
      <c r="G42">
        <f t="shared" si="20"/>
        <v>2.5905797101449281E-2</v>
      </c>
      <c r="H42">
        <f t="shared" si="20"/>
        <v>2.3027375201288239E-2</v>
      </c>
      <c r="I42">
        <f t="shared" si="20"/>
        <v>2.1588164251207728E-2</v>
      </c>
      <c r="J42">
        <f t="shared" si="20"/>
        <v>1.9429347826086955E-2</v>
      </c>
      <c r="K42">
        <f t="shared" si="20"/>
        <v>1.5942028985507249E-2</v>
      </c>
      <c r="L42">
        <f t="shared" si="20"/>
        <v>1.4803312629399584E-2</v>
      </c>
    </row>
    <row r="43" spans="2:16" x14ac:dyDescent="0.25">
      <c r="B43" s="4">
        <v>145</v>
      </c>
      <c r="C43" s="4">
        <v>205</v>
      </c>
      <c r="E43">
        <f t="shared" ref="E43:L43" si="21">(E19*$L$26/2)-(E19/2)</f>
        <v>3.5365853658536589E-2</v>
      </c>
      <c r="F43">
        <f t="shared" si="21"/>
        <v>2.8292682926829273E-2</v>
      </c>
      <c r="G43">
        <f t="shared" si="21"/>
        <v>2.6524390243902449E-2</v>
      </c>
      <c r="H43">
        <f t="shared" si="21"/>
        <v>2.3577235772357728E-2</v>
      </c>
      <c r="I43">
        <f t="shared" si="21"/>
        <v>2.2103658536585365E-2</v>
      </c>
      <c r="J43">
        <f t="shared" si="21"/>
        <v>1.9893292682926826E-2</v>
      </c>
      <c r="K43">
        <f t="shared" si="21"/>
        <v>1.6322701688555347E-2</v>
      </c>
      <c r="L43">
        <f t="shared" si="21"/>
        <v>1.5156794425087113E-2</v>
      </c>
    </row>
    <row r="44" spans="2:16" x14ac:dyDescent="0.25">
      <c r="B44" s="4">
        <v>243</v>
      </c>
      <c r="C44" s="4">
        <v>340</v>
      </c>
      <c r="E44">
        <f t="shared" ref="E44:L44" si="22">(E20*$L$26/2)-(E20/2)</f>
        <v>3.573529411764706E-2</v>
      </c>
      <c r="F44">
        <f t="shared" si="22"/>
        <v>2.8588235294117643E-2</v>
      </c>
      <c r="G44">
        <f t="shared" si="22"/>
        <v>2.6801470588235302E-2</v>
      </c>
      <c r="H44">
        <f t="shared" si="22"/>
        <v>2.3823529411764709E-2</v>
      </c>
      <c r="I44">
        <f t="shared" si="22"/>
        <v>2.2334558823529409E-2</v>
      </c>
      <c r="J44">
        <f t="shared" si="22"/>
        <v>2.0101102941176473E-2</v>
      </c>
      <c r="K44">
        <f t="shared" si="22"/>
        <v>1.6493212669683253E-2</v>
      </c>
      <c r="L44">
        <f t="shared" si="22"/>
        <v>1.531512605042017E-2</v>
      </c>
    </row>
    <row r="45" spans="2:16" x14ac:dyDescent="0.25">
      <c r="B45" s="4">
        <v>257</v>
      </c>
      <c r="C45" s="4">
        <v>229</v>
      </c>
      <c r="E45">
        <f t="shared" ref="E45:L45" si="23">(E21*$L$26/2)-(E21/2)</f>
        <v>5.6113537117903928E-2</v>
      </c>
      <c r="F45">
        <f t="shared" si="23"/>
        <v>4.4890829694323134E-2</v>
      </c>
      <c r="G45">
        <f t="shared" si="23"/>
        <v>4.2085152838427939E-2</v>
      </c>
      <c r="H45">
        <f t="shared" si="23"/>
        <v>3.740902474526929E-2</v>
      </c>
      <c r="I45">
        <f t="shared" si="23"/>
        <v>3.5070960698689951E-2</v>
      </c>
      <c r="J45">
        <f t="shared" si="23"/>
        <v>3.1563864628820951E-2</v>
      </c>
      <c r="K45">
        <f t="shared" si="23"/>
        <v>2.5898555592878736E-2</v>
      </c>
      <c r="L45">
        <f t="shared" si="23"/>
        <v>2.4048658764815975E-2</v>
      </c>
    </row>
    <row r="46" spans="2:16" x14ac:dyDescent="0.25">
      <c r="B46" s="4">
        <v>373</v>
      </c>
      <c r="C46" s="4">
        <v>436</v>
      </c>
      <c r="E46">
        <f t="shared" ref="E46:L46" si="24">(E22*$L$26/2)-(E22/2)</f>
        <v>4.2775229357798178E-2</v>
      </c>
      <c r="F46">
        <f t="shared" si="24"/>
        <v>3.4220183486238523E-2</v>
      </c>
      <c r="G46">
        <f t="shared" si="24"/>
        <v>3.2081422018348613E-2</v>
      </c>
      <c r="H46">
        <f t="shared" si="24"/>
        <v>2.8516819571865443E-2</v>
      </c>
      <c r="I46">
        <f t="shared" si="24"/>
        <v>2.6734518348623851E-2</v>
      </c>
      <c r="J46">
        <f t="shared" si="24"/>
        <v>2.4061066513761463E-2</v>
      </c>
      <c r="K46">
        <f t="shared" si="24"/>
        <v>1.9742413549753E-2</v>
      </c>
      <c r="L46">
        <f t="shared" si="24"/>
        <v>1.8332241153342067E-2</v>
      </c>
      <c r="O46" s="4"/>
      <c r="P46" s="4"/>
    </row>
    <row r="47" spans="2:16" x14ac:dyDescent="0.25">
      <c r="B47" s="4">
        <v>752</v>
      </c>
      <c r="C47" s="4">
        <v>1440</v>
      </c>
      <c r="E47">
        <f t="shared" ref="E47:L47" si="25">(E23*$L$26/2)-(E23/2)</f>
        <v>2.6111111111111113E-2</v>
      </c>
      <c r="F47">
        <f t="shared" si="25"/>
        <v>2.0888888888888894E-2</v>
      </c>
      <c r="G47">
        <f t="shared" si="25"/>
        <v>1.9583333333333335E-2</v>
      </c>
      <c r="H47">
        <f t="shared" si="25"/>
        <v>1.7407407407407406E-2</v>
      </c>
      <c r="I47">
        <f t="shared" si="25"/>
        <v>1.6319444444444449E-2</v>
      </c>
      <c r="J47">
        <f t="shared" si="25"/>
        <v>1.4687500000000003E-2</v>
      </c>
      <c r="K47">
        <f t="shared" si="25"/>
        <v>1.2051282051282051E-2</v>
      </c>
      <c r="L47">
        <f t="shared" si="25"/>
        <v>1.1190476190476188E-2</v>
      </c>
    </row>
    <row r="50" spans="2:16" x14ac:dyDescent="0.25">
      <c r="E50" s="3" t="s">
        <v>5</v>
      </c>
    </row>
    <row r="51" spans="2:16" x14ac:dyDescent="0.25">
      <c r="E51" s="4">
        <v>1</v>
      </c>
      <c r="F51" s="4">
        <v>5</v>
      </c>
      <c r="G51" s="4">
        <v>4</v>
      </c>
      <c r="H51" s="4">
        <v>3</v>
      </c>
      <c r="I51" s="4">
        <v>16</v>
      </c>
      <c r="J51" s="4">
        <v>16</v>
      </c>
      <c r="K51" s="4">
        <v>19.5</v>
      </c>
      <c r="L51" s="4">
        <v>21</v>
      </c>
      <c r="O51" s="4"/>
      <c r="P51" s="4"/>
    </row>
    <row r="52" spans="2:16" x14ac:dyDescent="0.25">
      <c r="E52" s="4">
        <v>1</v>
      </c>
      <c r="F52" s="4">
        <v>4</v>
      </c>
      <c r="G52" s="4">
        <v>3</v>
      </c>
      <c r="H52" s="4">
        <v>2</v>
      </c>
      <c r="I52" s="4">
        <v>10</v>
      </c>
      <c r="J52" s="4">
        <v>9</v>
      </c>
      <c r="K52" s="4">
        <v>9</v>
      </c>
      <c r="L52" s="4">
        <v>9</v>
      </c>
    </row>
    <row r="53" spans="2:16" x14ac:dyDescent="0.25">
      <c r="B53" s="2"/>
      <c r="C53" s="2"/>
      <c r="D53" s="4" t="s">
        <v>0</v>
      </c>
      <c r="E53" s="4">
        <v>720</v>
      </c>
      <c r="F53" s="4">
        <v>900</v>
      </c>
      <c r="G53" s="4">
        <v>960</v>
      </c>
      <c r="H53" s="4">
        <v>1080</v>
      </c>
      <c r="I53" s="4">
        <v>1152</v>
      </c>
      <c r="J53" s="4">
        <v>1280</v>
      </c>
      <c r="K53" s="4">
        <v>1560</v>
      </c>
      <c r="L53" s="4">
        <v>1680</v>
      </c>
    </row>
    <row r="54" spans="2:16" x14ac:dyDescent="0.25">
      <c r="B54" s="2" t="s">
        <v>0</v>
      </c>
      <c r="C54" s="2" t="s">
        <v>1</v>
      </c>
      <c r="D54" s="4" t="s">
        <v>1</v>
      </c>
      <c r="E54" s="4">
        <v>720</v>
      </c>
      <c r="F54" s="4">
        <v>720</v>
      </c>
      <c r="G54" s="4">
        <v>720</v>
      </c>
      <c r="H54" s="4">
        <v>720</v>
      </c>
      <c r="I54" s="4">
        <v>720</v>
      </c>
      <c r="J54" s="4">
        <v>720</v>
      </c>
      <c r="K54" s="4">
        <v>720</v>
      </c>
      <c r="L54" s="4">
        <v>720</v>
      </c>
    </row>
    <row r="55" spans="2:16" x14ac:dyDescent="0.25">
      <c r="B55" s="4">
        <v>1</v>
      </c>
      <c r="C55" s="4">
        <v>1</v>
      </c>
      <c r="E55">
        <f t="shared" ref="E55:L64" si="26">(E$53/((E7*E$53)+$H$26))</f>
        <v>4.6753246753246751</v>
      </c>
      <c r="F55">
        <f>(F$53/((F7*F$53)+$H$26))</f>
        <v>5.8441558441558445</v>
      </c>
      <c r="G55">
        <f t="shared" si="26"/>
        <v>6.2337662337662341</v>
      </c>
      <c r="H55">
        <f t="shared" si="26"/>
        <v>7.0129870129870131</v>
      </c>
      <c r="I55">
        <f t="shared" si="26"/>
        <v>7.4805194805194803</v>
      </c>
      <c r="J55">
        <f t="shared" si="26"/>
        <v>8.3116883116883109</v>
      </c>
      <c r="K55">
        <f t="shared" si="26"/>
        <v>10.129870129870129</v>
      </c>
      <c r="L55">
        <f t="shared" si="26"/>
        <v>10.909090909090908</v>
      </c>
    </row>
    <row r="56" spans="2:16" x14ac:dyDescent="0.25">
      <c r="B56" s="4">
        <v>1</v>
      </c>
      <c r="C56" s="4">
        <v>2</v>
      </c>
      <c r="E56">
        <f t="shared" si="26"/>
        <v>8.7804878048780495</v>
      </c>
      <c r="F56">
        <f t="shared" si="26"/>
        <v>10.975609756097562</v>
      </c>
      <c r="G56">
        <f t="shared" si="26"/>
        <v>11.707317073170731</v>
      </c>
      <c r="H56">
        <f t="shared" si="26"/>
        <v>13.170731707317072</v>
      </c>
      <c r="I56">
        <f t="shared" si="26"/>
        <v>14.048780487804878</v>
      </c>
      <c r="J56">
        <f t="shared" si="26"/>
        <v>15.609756097560975</v>
      </c>
      <c r="K56">
        <f t="shared" si="26"/>
        <v>19.024390243902438</v>
      </c>
      <c r="L56">
        <f t="shared" si="26"/>
        <v>20.487804878048781</v>
      </c>
      <c r="O56" s="4"/>
      <c r="P56" s="4"/>
    </row>
    <row r="57" spans="2:16" x14ac:dyDescent="0.25">
      <c r="B57" s="4">
        <v>2</v>
      </c>
      <c r="C57" s="4">
        <v>3</v>
      </c>
      <c r="E57">
        <f t="shared" si="26"/>
        <v>6.7924528301886795</v>
      </c>
      <c r="F57">
        <f t="shared" si="26"/>
        <v>8.4905660377358494</v>
      </c>
      <c r="G57">
        <f t="shared" si="26"/>
        <v>9.0566037735849054</v>
      </c>
      <c r="H57">
        <f t="shared" si="26"/>
        <v>10.188679245283019</v>
      </c>
      <c r="I57">
        <f t="shared" si="26"/>
        <v>10.867924528301886</v>
      </c>
      <c r="J57">
        <f t="shared" si="26"/>
        <v>12.075471698113208</v>
      </c>
      <c r="K57">
        <f t="shared" si="26"/>
        <v>14.716981132075471</v>
      </c>
      <c r="L57">
        <f t="shared" si="26"/>
        <v>15.849056603773585</v>
      </c>
    </row>
    <row r="58" spans="2:16" x14ac:dyDescent="0.25">
      <c r="B58" s="4">
        <v>3</v>
      </c>
      <c r="C58" s="4">
        <v>4</v>
      </c>
      <c r="E58">
        <f t="shared" si="26"/>
        <v>6.101694915254237</v>
      </c>
      <c r="F58">
        <f t="shared" si="26"/>
        <v>7.6271186440677967</v>
      </c>
      <c r="G58">
        <f t="shared" si="26"/>
        <v>8.1355932203389827</v>
      </c>
      <c r="H58">
        <f t="shared" si="26"/>
        <v>9.1525423728813564</v>
      </c>
      <c r="I58">
        <f t="shared" si="26"/>
        <v>9.7627118644067803</v>
      </c>
      <c r="J58">
        <f t="shared" si="26"/>
        <v>10.847457627118644</v>
      </c>
      <c r="K58">
        <f t="shared" si="26"/>
        <v>13.220338983050848</v>
      </c>
      <c r="L58">
        <f t="shared" si="26"/>
        <v>14.237288135593221</v>
      </c>
    </row>
    <row r="59" spans="2:16" x14ac:dyDescent="0.25">
      <c r="B59" s="4">
        <v>3</v>
      </c>
      <c r="C59" s="4">
        <v>5</v>
      </c>
      <c r="E59">
        <f t="shared" si="26"/>
        <v>7.4688796680497918</v>
      </c>
      <c r="F59">
        <f t="shared" si="26"/>
        <v>9.3360995850622395</v>
      </c>
      <c r="G59">
        <f t="shared" si="26"/>
        <v>9.9585062240663902</v>
      </c>
      <c r="H59">
        <f t="shared" si="26"/>
        <v>11.203319502074688</v>
      </c>
      <c r="I59">
        <f t="shared" si="26"/>
        <v>11.950207468879668</v>
      </c>
      <c r="J59">
        <f t="shared" si="26"/>
        <v>13.278008298755186</v>
      </c>
      <c r="K59">
        <f t="shared" si="26"/>
        <v>16.182572614107883</v>
      </c>
      <c r="L59">
        <f t="shared" si="26"/>
        <v>17.427385892116181</v>
      </c>
    </row>
    <row r="60" spans="2:16" x14ac:dyDescent="0.25">
      <c r="B60" s="4">
        <v>4</v>
      </c>
      <c r="C60" s="4">
        <v>3</v>
      </c>
      <c r="E60">
        <f t="shared" si="26"/>
        <v>3.5643564356435644</v>
      </c>
      <c r="F60">
        <f t="shared" si="26"/>
        <v>4.4554455445544559</v>
      </c>
      <c r="G60">
        <f t="shared" si="26"/>
        <v>4.7524752475247523</v>
      </c>
      <c r="H60">
        <f t="shared" si="26"/>
        <v>5.3465346534653468</v>
      </c>
      <c r="I60">
        <f t="shared" si="26"/>
        <v>5.7029702970297027</v>
      </c>
      <c r="J60">
        <f t="shared" si="26"/>
        <v>6.3366336633663369</v>
      </c>
      <c r="K60">
        <f t="shared" si="26"/>
        <v>7.7227722772277225</v>
      </c>
      <c r="L60">
        <f t="shared" si="26"/>
        <v>8.3168316831683171</v>
      </c>
    </row>
    <row r="61" spans="2:16" x14ac:dyDescent="0.25">
      <c r="B61" s="4">
        <v>5</v>
      </c>
      <c r="C61" s="4">
        <v>7</v>
      </c>
      <c r="E61">
        <f t="shared" si="26"/>
        <v>6.3797468354430382</v>
      </c>
      <c r="F61">
        <f t="shared" si="26"/>
        <v>7.9746835443037973</v>
      </c>
      <c r="G61">
        <f t="shared" si="26"/>
        <v>8.5063291139240498</v>
      </c>
      <c r="H61">
        <f t="shared" si="26"/>
        <v>9.5696202531645564</v>
      </c>
      <c r="I61">
        <f t="shared" si="26"/>
        <v>10.20759493670886</v>
      </c>
      <c r="J61">
        <f t="shared" si="26"/>
        <v>11.341772151898734</v>
      </c>
      <c r="K61">
        <f t="shared" si="26"/>
        <v>13.822784810126581</v>
      </c>
      <c r="L61">
        <f t="shared" si="26"/>
        <v>14.886075949367088</v>
      </c>
      <c r="O61" s="4"/>
      <c r="P61" s="4"/>
    </row>
    <row r="62" spans="2:16" x14ac:dyDescent="0.25">
      <c r="B62" s="4">
        <v>99</v>
      </c>
      <c r="C62" s="4">
        <v>168</v>
      </c>
      <c r="E62">
        <f t="shared" si="26"/>
        <v>7.5903614457831319</v>
      </c>
      <c r="F62">
        <f t="shared" si="26"/>
        <v>9.4879518072289155</v>
      </c>
      <c r="G62">
        <f t="shared" si="26"/>
        <v>10.120481927710843</v>
      </c>
      <c r="H62">
        <f t="shared" si="26"/>
        <v>11.385542168674698</v>
      </c>
      <c r="I62">
        <f t="shared" si="26"/>
        <v>12.144578313253012</v>
      </c>
      <c r="J62">
        <f t="shared" si="26"/>
        <v>13.493975903614457</v>
      </c>
      <c r="K62">
        <f t="shared" si="26"/>
        <v>16.445783132530121</v>
      </c>
      <c r="L62">
        <f t="shared" si="26"/>
        <v>17.710843373493976</v>
      </c>
    </row>
    <row r="63" spans="2:16" x14ac:dyDescent="0.25">
      <c r="B63" s="4">
        <v>105</v>
      </c>
      <c r="C63" s="4">
        <v>170</v>
      </c>
      <c r="E63">
        <f t="shared" si="26"/>
        <v>7.2770511296076101</v>
      </c>
      <c r="F63">
        <f t="shared" si="26"/>
        <v>9.0963139120095136</v>
      </c>
      <c r="G63">
        <f t="shared" si="26"/>
        <v>9.7027348394768129</v>
      </c>
      <c r="H63">
        <f t="shared" si="26"/>
        <v>10.915576694411415</v>
      </c>
      <c r="I63">
        <f t="shared" si="26"/>
        <v>11.643281807372176</v>
      </c>
      <c r="J63">
        <f t="shared" si="26"/>
        <v>12.936979785969084</v>
      </c>
      <c r="K63">
        <f t="shared" si="26"/>
        <v>15.766944114149823</v>
      </c>
      <c r="L63">
        <f t="shared" si="26"/>
        <v>16.979785969084425</v>
      </c>
    </row>
    <row r="64" spans="2:16" x14ac:dyDescent="0.25">
      <c r="B64" s="4">
        <v>112</v>
      </c>
      <c r="C64" s="4">
        <v>67</v>
      </c>
      <c r="E64">
        <f t="shared" si="26"/>
        <v>2.8717704488629598</v>
      </c>
      <c r="F64">
        <f t="shared" si="26"/>
        <v>3.5897130610786991</v>
      </c>
      <c r="G64">
        <f t="shared" si="26"/>
        <v>3.8290272651506125</v>
      </c>
      <c r="H64">
        <f t="shared" si="26"/>
        <v>4.3076556732944393</v>
      </c>
      <c r="I64">
        <f t="shared" si="26"/>
        <v>4.5948327181807356</v>
      </c>
      <c r="J64">
        <f t="shared" si="26"/>
        <v>5.1053696868674843</v>
      </c>
      <c r="K64">
        <f t="shared" si="26"/>
        <v>6.2221693058697456</v>
      </c>
      <c r="L64">
        <f t="shared" si="26"/>
        <v>6.7007977140135724</v>
      </c>
    </row>
    <row r="65" spans="2:16" x14ac:dyDescent="0.25">
      <c r="B65" s="4">
        <v>135</v>
      </c>
      <c r="C65" s="4">
        <v>172</v>
      </c>
      <c r="E65">
        <f t="shared" ref="E65:L71" si="27">(E$53/((E17*E$53)+$H$26))</f>
        <v>5.8525519848771266</v>
      </c>
      <c r="F65">
        <f t="shared" si="27"/>
        <v>7.3156899810964093</v>
      </c>
      <c r="G65">
        <f t="shared" si="27"/>
        <v>7.8034026465028354</v>
      </c>
      <c r="H65">
        <f t="shared" si="27"/>
        <v>8.7788279773156912</v>
      </c>
      <c r="I65">
        <f t="shared" si="27"/>
        <v>9.3640831758034029</v>
      </c>
      <c r="J65">
        <f t="shared" si="27"/>
        <v>10.404536862003781</v>
      </c>
      <c r="K65">
        <f t="shared" si="27"/>
        <v>12.680529300567107</v>
      </c>
      <c r="L65">
        <f t="shared" si="27"/>
        <v>13.655954631379963</v>
      </c>
    </row>
    <row r="66" spans="2:16" x14ac:dyDescent="0.25">
      <c r="B66" s="4">
        <v>143</v>
      </c>
      <c r="C66" s="4">
        <v>207</v>
      </c>
      <c r="E66">
        <f t="shared" si="27"/>
        <v>6.576648133439237</v>
      </c>
      <c r="F66">
        <f t="shared" si="27"/>
        <v>8.2208101667990476</v>
      </c>
      <c r="G66">
        <f t="shared" si="27"/>
        <v>8.7688641779189833</v>
      </c>
      <c r="H66">
        <f t="shared" si="27"/>
        <v>9.8649722001588565</v>
      </c>
      <c r="I66">
        <f t="shared" si="27"/>
        <v>10.522637013502781</v>
      </c>
      <c r="J66">
        <f t="shared" si="27"/>
        <v>11.691818903891978</v>
      </c>
      <c r="K66">
        <f t="shared" si="27"/>
        <v>14.249404289118347</v>
      </c>
      <c r="L66">
        <f t="shared" si="27"/>
        <v>15.34551231135822</v>
      </c>
      <c r="O66" s="4"/>
      <c r="P66" s="4"/>
    </row>
    <row r="67" spans="2:16" x14ac:dyDescent="0.25">
      <c r="B67" s="4">
        <v>145</v>
      </c>
      <c r="C67" s="4">
        <v>205</v>
      </c>
      <c r="E67">
        <f t="shared" si="27"/>
        <v>6.4369821194941119</v>
      </c>
      <c r="F67">
        <f t="shared" si="27"/>
        <v>8.0462276493676406</v>
      </c>
      <c r="G67">
        <f t="shared" si="27"/>
        <v>8.5826428259921492</v>
      </c>
      <c r="H67">
        <f t="shared" si="27"/>
        <v>9.6554731792411683</v>
      </c>
      <c r="I67">
        <f t="shared" si="27"/>
        <v>10.29917139119058</v>
      </c>
      <c r="J67">
        <f t="shared" si="27"/>
        <v>11.443523767989532</v>
      </c>
      <c r="K67">
        <f t="shared" si="27"/>
        <v>13.946794592237245</v>
      </c>
      <c r="L67">
        <f t="shared" si="27"/>
        <v>15.019624945486262</v>
      </c>
    </row>
    <row r="68" spans="2:16" x14ac:dyDescent="0.25">
      <c r="B68" s="4">
        <v>243</v>
      </c>
      <c r="C68" s="4">
        <v>340</v>
      </c>
      <c r="E68">
        <f t="shared" si="27"/>
        <v>6.3763284017503645</v>
      </c>
      <c r="F68">
        <f t="shared" si="27"/>
        <v>7.9704105021879554</v>
      </c>
      <c r="G68">
        <f t="shared" si="27"/>
        <v>8.5017712023338188</v>
      </c>
      <c r="H68">
        <f t="shared" si="27"/>
        <v>9.5644926026255472</v>
      </c>
      <c r="I68">
        <f t="shared" si="27"/>
        <v>10.202125442800583</v>
      </c>
      <c r="J68">
        <f t="shared" si="27"/>
        <v>11.335694936445091</v>
      </c>
      <c r="K68">
        <f t="shared" si="27"/>
        <v>13.815378203792458</v>
      </c>
      <c r="L68">
        <f t="shared" si="27"/>
        <v>14.878099604084184</v>
      </c>
    </row>
    <row r="69" spans="2:16" x14ac:dyDescent="0.25">
      <c r="B69" s="4">
        <v>257</v>
      </c>
      <c r="C69" s="4">
        <v>229</v>
      </c>
      <c r="E69">
        <f t="shared" si="27"/>
        <v>4.1956333655656781</v>
      </c>
      <c r="F69">
        <f t="shared" si="27"/>
        <v>5.2445417069570972</v>
      </c>
      <c r="G69">
        <f t="shared" si="27"/>
        <v>5.5941778207542372</v>
      </c>
      <c r="H69">
        <f t="shared" si="27"/>
        <v>6.2934500483485172</v>
      </c>
      <c r="I69">
        <f t="shared" si="27"/>
        <v>6.7130133849050848</v>
      </c>
      <c r="J69">
        <f t="shared" si="27"/>
        <v>7.4589037610056499</v>
      </c>
      <c r="K69">
        <f t="shared" si="27"/>
        <v>9.0905389587256362</v>
      </c>
      <c r="L69">
        <f t="shared" si="27"/>
        <v>9.7898111863199144</v>
      </c>
    </row>
    <row r="70" spans="2:16" x14ac:dyDescent="0.25">
      <c r="B70" s="4">
        <v>373</v>
      </c>
      <c r="C70" s="4">
        <v>436</v>
      </c>
      <c r="E70">
        <f t="shared" si="27"/>
        <v>5.405703264912523</v>
      </c>
      <c r="F70">
        <f t="shared" si="27"/>
        <v>6.7571290811406541</v>
      </c>
      <c r="G70">
        <f t="shared" si="27"/>
        <v>7.2076043532166976</v>
      </c>
      <c r="H70">
        <f t="shared" si="27"/>
        <v>8.1085548973687853</v>
      </c>
      <c r="I70">
        <f t="shared" si="27"/>
        <v>8.6491252238600378</v>
      </c>
      <c r="J70">
        <f t="shared" si="27"/>
        <v>9.610139137622264</v>
      </c>
      <c r="K70">
        <f t="shared" si="27"/>
        <v>11.712357073977133</v>
      </c>
      <c r="L70">
        <f t="shared" si="27"/>
        <v>12.613307618129221</v>
      </c>
    </row>
    <row r="71" spans="2:16" x14ac:dyDescent="0.25">
      <c r="B71" s="4">
        <v>752</v>
      </c>
      <c r="C71" s="4">
        <v>1440</v>
      </c>
      <c r="E71">
        <f t="shared" si="27"/>
        <v>8.4507042253521121</v>
      </c>
      <c r="F71">
        <f t="shared" si="27"/>
        <v>10.56338028169014</v>
      </c>
      <c r="G71">
        <f t="shared" si="27"/>
        <v>11.267605633802816</v>
      </c>
      <c r="H71">
        <f t="shared" si="27"/>
        <v>12.676056338028168</v>
      </c>
      <c r="I71">
        <f t="shared" si="27"/>
        <v>13.52112676056338</v>
      </c>
      <c r="J71">
        <f t="shared" si="27"/>
        <v>15.023474178403756</v>
      </c>
      <c r="K71">
        <f t="shared" si="27"/>
        <v>18.309859154929576</v>
      </c>
      <c r="L71">
        <f t="shared" si="27"/>
        <v>19.718309859154928</v>
      </c>
      <c r="O71" s="4"/>
      <c r="P71" s="4"/>
    </row>
    <row r="74" spans="2:16" x14ac:dyDescent="0.25">
      <c r="E74" s="3" t="s">
        <v>24</v>
      </c>
    </row>
    <row r="75" spans="2:16" x14ac:dyDescent="0.25">
      <c r="E75" s="4">
        <v>1</v>
      </c>
      <c r="F75" s="4">
        <v>5</v>
      </c>
      <c r="G75" s="4">
        <v>4</v>
      </c>
      <c r="H75" s="4">
        <v>3</v>
      </c>
      <c r="I75" s="4">
        <v>16</v>
      </c>
      <c r="J75" s="4">
        <v>16</v>
      </c>
      <c r="K75" s="4">
        <v>19.5</v>
      </c>
      <c r="L75" s="4">
        <v>21</v>
      </c>
    </row>
    <row r="76" spans="2:16" x14ac:dyDescent="0.25">
      <c r="E76" s="4">
        <v>1</v>
      </c>
      <c r="F76" s="4">
        <v>4</v>
      </c>
      <c r="G76" s="4">
        <v>3</v>
      </c>
      <c r="H76" s="4">
        <v>2</v>
      </c>
      <c r="I76" s="4">
        <v>10</v>
      </c>
      <c r="J76" s="4">
        <v>9</v>
      </c>
      <c r="K76" s="4">
        <v>9</v>
      </c>
      <c r="L76" s="4">
        <v>9</v>
      </c>
      <c r="O76" s="4"/>
      <c r="P76" s="4"/>
    </row>
    <row r="77" spans="2:16" x14ac:dyDescent="0.25">
      <c r="B77" s="2"/>
      <c r="C77" s="2"/>
      <c r="D77" s="4" t="s">
        <v>0</v>
      </c>
      <c r="E77" s="4">
        <v>720</v>
      </c>
      <c r="F77" s="4">
        <v>900</v>
      </c>
      <c r="G77" s="4">
        <v>960</v>
      </c>
      <c r="H77" s="4">
        <v>1080</v>
      </c>
      <c r="I77" s="4">
        <v>1152</v>
      </c>
      <c r="J77" s="4">
        <v>1280</v>
      </c>
      <c r="K77" s="4">
        <v>1560</v>
      </c>
      <c r="L77" s="4">
        <v>1680</v>
      </c>
    </row>
    <row r="78" spans="2:16" x14ac:dyDescent="0.25">
      <c r="B78" s="2" t="s">
        <v>0</v>
      </c>
      <c r="C78" s="2" t="s">
        <v>1</v>
      </c>
      <c r="D78" s="4" t="s">
        <v>1</v>
      </c>
      <c r="E78" s="4">
        <v>720</v>
      </c>
      <c r="F78" s="4">
        <v>720</v>
      </c>
      <c r="G78" s="4">
        <v>720</v>
      </c>
      <c r="H78" s="4">
        <v>720</v>
      </c>
      <c r="I78" s="4">
        <v>720</v>
      </c>
      <c r="J78" s="4">
        <v>720</v>
      </c>
      <c r="K78" s="4">
        <v>720</v>
      </c>
      <c r="L78" s="4">
        <v>720</v>
      </c>
    </row>
    <row r="79" spans="2:16" x14ac:dyDescent="0.25">
      <c r="B79" s="4">
        <v>1</v>
      </c>
      <c r="C79" s="4">
        <v>1</v>
      </c>
      <c r="E79">
        <f>(E7*$L$26/2)-0.1</f>
        <v>5.0000000000000017E-2</v>
      </c>
      <c r="F79">
        <f t="shared" ref="F79:L79" si="28">(F7*$L$26/2)-0.1</f>
        <v>1.999999999999999E-2</v>
      </c>
      <c r="G79">
        <f t="shared" si="28"/>
        <v>1.2499999999999983E-2</v>
      </c>
      <c r="H79">
        <f t="shared" si="28"/>
        <v>0</v>
      </c>
      <c r="I79">
        <f t="shared" si="28"/>
        <v>-6.2500000000000056E-3</v>
      </c>
      <c r="J79">
        <f t="shared" si="28"/>
        <v>-1.5625E-2</v>
      </c>
      <c r="K79">
        <f t="shared" si="28"/>
        <v>-3.0769230769230771E-2</v>
      </c>
      <c r="L79">
        <f t="shared" si="28"/>
        <v>-3.5714285714285726E-2</v>
      </c>
    </row>
    <row r="80" spans="2:16" x14ac:dyDescent="0.25">
      <c r="B80" s="4">
        <v>1</v>
      </c>
      <c r="C80" s="4">
        <v>2</v>
      </c>
      <c r="E80">
        <f t="shared" ref="E80:L80" si="29">(E8*$L$26/2)-0.1</f>
        <v>-2.4999999999999994E-2</v>
      </c>
      <c r="F80">
        <f t="shared" si="29"/>
        <v>-4.0000000000000008E-2</v>
      </c>
      <c r="G80">
        <f t="shared" si="29"/>
        <v>-4.3750000000000011E-2</v>
      </c>
      <c r="H80">
        <f t="shared" si="29"/>
        <v>-0.05</v>
      </c>
      <c r="I80">
        <f t="shared" si="29"/>
        <v>-5.3125000000000006E-2</v>
      </c>
      <c r="J80">
        <f t="shared" si="29"/>
        <v>-5.7812500000000003E-2</v>
      </c>
      <c r="K80">
        <f t="shared" si="29"/>
        <v>-6.5384615384615388E-2</v>
      </c>
      <c r="L80">
        <f t="shared" si="29"/>
        <v>-6.7857142857142866E-2</v>
      </c>
    </row>
    <row r="81" spans="2:16" x14ac:dyDescent="0.25">
      <c r="B81" s="4">
        <v>2</v>
      </c>
      <c r="C81" s="4">
        <v>3</v>
      </c>
      <c r="E81">
        <f t="shared" ref="E81:L81" si="30">(E9*$L$26/2)-0.1</f>
        <v>0</v>
      </c>
      <c r="F81">
        <f t="shared" si="30"/>
        <v>-2.0000000000000004E-2</v>
      </c>
      <c r="G81">
        <f t="shared" si="30"/>
        <v>-2.4999999999999994E-2</v>
      </c>
      <c r="H81">
        <f t="shared" si="30"/>
        <v>-3.333333333333334E-2</v>
      </c>
      <c r="I81">
        <f t="shared" si="30"/>
        <v>-3.7500000000000006E-2</v>
      </c>
      <c r="J81">
        <f t="shared" si="30"/>
        <v>-4.3750000000000011E-2</v>
      </c>
      <c r="K81">
        <f t="shared" si="30"/>
        <v>-5.3846153846153849E-2</v>
      </c>
      <c r="L81">
        <f t="shared" si="30"/>
        <v>-5.7142857142857148E-2</v>
      </c>
      <c r="O81" s="4"/>
      <c r="P81" s="4"/>
    </row>
    <row r="82" spans="2:16" x14ac:dyDescent="0.25">
      <c r="B82" s="4">
        <v>3</v>
      </c>
      <c r="C82" s="4">
        <v>4</v>
      </c>
      <c r="E82">
        <f t="shared" ref="E82:L82" si="31">(E10*$L$26/2)-0.1</f>
        <v>1.2499999999999983E-2</v>
      </c>
      <c r="F82">
        <f t="shared" si="31"/>
        <v>-1.0000000000000009E-2</v>
      </c>
      <c r="G82">
        <f t="shared" si="31"/>
        <v>-1.5625E-2</v>
      </c>
      <c r="H82">
        <f t="shared" si="31"/>
        <v>-2.4999999999999994E-2</v>
      </c>
      <c r="I82">
        <f t="shared" si="31"/>
        <v>-2.9687500000000006E-2</v>
      </c>
      <c r="J82">
        <f t="shared" si="31"/>
        <v>-3.6718749999999994E-2</v>
      </c>
      <c r="K82">
        <f t="shared" si="31"/>
        <v>-4.807692307692308E-2</v>
      </c>
      <c r="L82">
        <f t="shared" si="31"/>
        <v>-5.1785714285714296E-2</v>
      </c>
    </row>
    <row r="83" spans="2:16" x14ac:dyDescent="0.25">
      <c r="B83" s="4">
        <v>3</v>
      </c>
      <c r="C83" s="4">
        <v>5</v>
      </c>
      <c r="E83">
        <f t="shared" ref="E83:L83" si="32">(E11*$L$26/2)-0.1</f>
        <v>-9.999999999999995E-3</v>
      </c>
      <c r="F83">
        <f t="shared" si="32"/>
        <v>-2.7999999999999997E-2</v>
      </c>
      <c r="G83">
        <f t="shared" si="32"/>
        <v>-3.2500000000000001E-2</v>
      </c>
      <c r="H83">
        <f t="shared" si="32"/>
        <v>-4.0000000000000008E-2</v>
      </c>
      <c r="I83">
        <f t="shared" si="32"/>
        <v>-4.3749999999999997E-2</v>
      </c>
      <c r="J83">
        <f t="shared" si="32"/>
        <v>-4.9375000000000002E-2</v>
      </c>
      <c r="K83">
        <f t="shared" si="32"/>
        <v>-5.8461538461538468E-2</v>
      </c>
      <c r="L83">
        <f t="shared" si="32"/>
        <v>-6.142857142857143E-2</v>
      </c>
    </row>
    <row r="84" spans="2:16" x14ac:dyDescent="0.25">
      <c r="B84" s="4">
        <v>4</v>
      </c>
      <c r="C84" s="4">
        <v>3</v>
      </c>
      <c r="E84">
        <f t="shared" ref="E84:L84" si="33">(E12*$L$26/2)-0.1</f>
        <v>0.1</v>
      </c>
      <c r="F84">
        <f t="shared" si="33"/>
        <v>0.06</v>
      </c>
      <c r="G84">
        <f t="shared" si="33"/>
        <v>5.0000000000000017E-2</v>
      </c>
      <c r="H84">
        <f t="shared" si="33"/>
        <v>3.3333333333333326E-2</v>
      </c>
      <c r="I84">
        <f t="shared" si="33"/>
        <v>2.4999999999999994E-2</v>
      </c>
      <c r="J84">
        <f t="shared" si="33"/>
        <v>1.2499999999999983E-2</v>
      </c>
      <c r="K84">
        <f t="shared" si="33"/>
        <v>-7.6923076923076927E-3</v>
      </c>
      <c r="L84">
        <f t="shared" si="33"/>
        <v>-1.428571428571429E-2</v>
      </c>
    </row>
    <row r="85" spans="2:16" x14ac:dyDescent="0.25">
      <c r="B85" s="4">
        <v>5</v>
      </c>
      <c r="C85" s="4">
        <v>7</v>
      </c>
      <c r="E85">
        <f t="shared" ref="E85:L85" si="34">(E13*$L$26/2)-0.1</f>
        <v>7.1428571428571314E-3</v>
      </c>
      <c r="F85">
        <f t="shared" si="34"/>
        <v>-1.428571428571429E-2</v>
      </c>
      <c r="G85">
        <f t="shared" si="34"/>
        <v>-1.9642857142857142E-2</v>
      </c>
      <c r="H85">
        <f t="shared" si="34"/>
        <v>-2.8571428571428567E-2</v>
      </c>
      <c r="I85">
        <f t="shared" si="34"/>
        <v>-3.3035714285714293E-2</v>
      </c>
      <c r="J85">
        <f t="shared" si="34"/>
        <v>-3.9732142857142855E-2</v>
      </c>
      <c r="K85">
        <f t="shared" si="34"/>
        <v>-5.054945054945055E-2</v>
      </c>
      <c r="L85">
        <f t="shared" si="34"/>
        <v>-5.4081632653061228E-2</v>
      </c>
    </row>
    <row r="86" spans="2:16" x14ac:dyDescent="0.25">
      <c r="B86" s="4">
        <v>99</v>
      </c>
      <c r="C86" s="4">
        <v>168</v>
      </c>
      <c r="E86">
        <f t="shared" ref="E86:L86" si="35">(E14*$L$26/2)-0.1</f>
        <v>-1.1607142857142858E-2</v>
      </c>
      <c r="F86">
        <f t="shared" si="35"/>
        <v>-2.928571428571429E-2</v>
      </c>
      <c r="G86">
        <f t="shared" si="35"/>
        <v>-3.3705357142857148E-2</v>
      </c>
      <c r="H86">
        <f t="shared" si="35"/>
        <v>-4.1071428571428578E-2</v>
      </c>
      <c r="I86">
        <f t="shared" si="35"/>
        <v>-4.4754464285714293E-2</v>
      </c>
      <c r="J86">
        <f t="shared" si="35"/>
        <v>-5.0279017857142866E-2</v>
      </c>
      <c r="K86">
        <f t="shared" si="35"/>
        <v>-5.9203296703296708E-2</v>
      </c>
      <c r="L86">
        <f t="shared" si="35"/>
        <v>-6.2117346938775513E-2</v>
      </c>
    </row>
    <row r="87" spans="2:16" x14ac:dyDescent="0.25">
      <c r="B87" s="4">
        <v>105</v>
      </c>
      <c r="C87" s="4">
        <v>170</v>
      </c>
      <c r="E87">
        <f t="shared" ref="E87:L87" si="36">(E15*$L$26/2)-0.1</f>
        <v>-7.3529411764706037E-3</v>
      </c>
      <c r="F87">
        <f t="shared" si="36"/>
        <v>-2.5882352941176481E-2</v>
      </c>
      <c r="G87">
        <f t="shared" si="36"/>
        <v>-3.0514705882352958E-2</v>
      </c>
      <c r="H87">
        <f t="shared" si="36"/>
        <v>-3.8235294117647062E-2</v>
      </c>
      <c r="I87">
        <f t="shared" si="36"/>
        <v>-4.2095588235294121E-2</v>
      </c>
      <c r="J87">
        <f t="shared" si="36"/>
        <v>-4.7886029411764709E-2</v>
      </c>
      <c r="K87">
        <f t="shared" si="36"/>
        <v>-5.7239819004524892E-2</v>
      </c>
      <c r="L87">
        <f t="shared" si="36"/>
        <v>-6.0294117647058831E-2</v>
      </c>
      <c r="O87" s="4"/>
      <c r="P87" s="4"/>
    </row>
    <row r="88" spans="2:16" x14ac:dyDescent="0.25">
      <c r="B88" s="4">
        <v>112</v>
      </c>
      <c r="C88" s="4">
        <v>67</v>
      </c>
      <c r="E88">
        <f t="shared" ref="E88:L88" si="37">(E16*$L$26/2)-0.1</f>
        <v>0.15074626865671645</v>
      </c>
      <c r="F88">
        <f t="shared" si="37"/>
        <v>0.10059701492537315</v>
      </c>
      <c r="G88">
        <f t="shared" si="37"/>
        <v>8.8059701492537334E-2</v>
      </c>
      <c r="H88">
        <f t="shared" si="37"/>
        <v>6.7164179104477612E-2</v>
      </c>
      <c r="I88">
        <f t="shared" si="37"/>
        <v>5.6716417910447764E-2</v>
      </c>
      <c r="J88">
        <f t="shared" si="37"/>
        <v>4.1044776119402965E-2</v>
      </c>
      <c r="K88">
        <f t="shared" si="37"/>
        <v>1.5729047072330665E-2</v>
      </c>
      <c r="L88">
        <f t="shared" si="37"/>
        <v>7.4626865671641729E-3</v>
      </c>
    </row>
    <row r="89" spans="2:16" x14ac:dyDescent="0.25">
      <c r="B89" s="4">
        <v>135</v>
      </c>
      <c r="C89" s="4">
        <v>172</v>
      </c>
      <c r="E89">
        <f t="shared" ref="E89:L89" si="38">(E17*$L$26/2)-0.1</f>
        <v>1.7732558139534879E-2</v>
      </c>
      <c r="F89">
        <f t="shared" si="38"/>
        <v>-5.8139534883721034E-3</v>
      </c>
      <c r="G89">
        <f t="shared" si="38"/>
        <v>-1.1700581395348839E-2</v>
      </c>
      <c r="H89">
        <f t="shared" si="38"/>
        <v>-2.1511627906976749E-2</v>
      </c>
      <c r="I89">
        <f t="shared" si="38"/>
        <v>-2.6417151162790711E-2</v>
      </c>
      <c r="J89">
        <f t="shared" si="38"/>
        <v>-3.3775436046511648E-2</v>
      </c>
      <c r="K89">
        <f t="shared" si="38"/>
        <v>-4.5661896243291596E-2</v>
      </c>
      <c r="L89">
        <f t="shared" si="38"/>
        <v>-4.9543189368770772E-2</v>
      </c>
    </row>
    <row r="90" spans="2:16" x14ac:dyDescent="0.25">
      <c r="B90" s="4">
        <v>143</v>
      </c>
      <c r="C90" s="4">
        <v>207</v>
      </c>
      <c r="E90">
        <f t="shared" ref="E90:L90" si="39">(E18*$L$26/2)-0.1</f>
        <v>3.6231884057970898E-3</v>
      </c>
      <c r="F90">
        <f t="shared" si="39"/>
        <v>-1.7101449275362321E-2</v>
      </c>
      <c r="G90">
        <f t="shared" si="39"/>
        <v>-2.228260869565217E-2</v>
      </c>
      <c r="H90">
        <f t="shared" si="39"/>
        <v>-3.0917874396135275E-2</v>
      </c>
      <c r="I90">
        <f t="shared" si="39"/>
        <v>-3.5235507246376821E-2</v>
      </c>
      <c r="J90">
        <f t="shared" si="39"/>
        <v>-4.1711956521739139E-2</v>
      </c>
      <c r="K90">
        <f t="shared" si="39"/>
        <v>-5.2173913043478265E-2</v>
      </c>
      <c r="L90">
        <f t="shared" si="39"/>
        <v>-5.5590062111801251E-2</v>
      </c>
    </row>
    <row r="91" spans="2:16" x14ac:dyDescent="0.25">
      <c r="B91" s="4">
        <v>145</v>
      </c>
      <c r="C91" s="4">
        <v>205</v>
      </c>
      <c r="E91">
        <f t="shared" ref="E91:L91" si="40">(E19*$L$26/2)-0.1</f>
        <v>6.0975609756097615E-3</v>
      </c>
      <c r="F91">
        <f t="shared" si="40"/>
        <v>-1.5121951219512195E-2</v>
      </c>
      <c r="G91">
        <f t="shared" si="40"/>
        <v>-2.0426829268292673E-2</v>
      </c>
      <c r="H91">
        <f t="shared" si="40"/>
        <v>-2.9268292682926828E-2</v>
      </c>
      <c r="I91">
        <f t="shared" si="40"/>
        <v>-3.3689024390243905E-2</v>
      </c>
      <c r="J91">
        <f t="shared" si="40"/>
        <v>-4.032012195121952E-2</v>
      </c>
      <c r="K91">
        <f t="shared" si="40"/>
        <v>-5.1031894934333966E-2</v>
      </c>
      <c r="L91">
        <f t="shared" si="40"/>
        <v>-5.4529616724738675E-2</v>
      </c>
    </row>
    <row r="92" spans="2:16" x14ac:dyDescent="0.25">
      <c r="B92" s="4">
        <v>243</v>
      </c>
      <c r="C92" s="4">
        <v>340</v>
      </c>
      <c r="E92">
        <f t="shared" ref="E92:L92" si="41">(E20*$L$26/2)-0.1</f>
        <v>7.2058823529411731E-3</v>
      </c>
      <c r="F92">
        <f t="shared" si="41"/>
        <v>-1.4235294117647068E-2</v>
      </c>
      <c r="G92">
        <f t="shared" si="41"/>
        <v>-1.9595588235294115E-2</v>
      </c>
      <c r="H92">
        <f t="shared" si="41"/>
        <v>-2.8529411764705886E-2</v>
      </c>
      <c r="I92">
        <f t="shared" si="41"/>
        <v>-3.2996323529411772E-2</v>
      </c>
      <c r="J92">
        <f t="shared" si="41"/>
        <v>-3.9696691176470587E-2</v>
      </c>
      <c r="K92">
        <f t="shared" si="41"/>
        <v>-5.0520361990950238E-2</v>
      </c>
      <c r="L92">
        <f t="shared" si="41"/>
        <v>-5.4054621848739499E-2</v>
      </c>
    </row>
    <row r="93" spans="2:16" x14ac:dyDescent="0.25">
      <c r="B93" s="4">
        <v>257</v>
      </c>
      <c r="C93" s="4">
        <v>229</v>
      </c>
      <c r="E93">
        <f t="shared" ref="E93:L93" si="42">(E21*$L$26/2)-0.1</f>
        <v>6.8340611353711778E-2</v>
      </c>
      <c r="F93">
        <f t="shared" si="42"/>
        <v>3.467248908296941E-2</v>
      </c>
      <c r="G93">
        <f t="shared" si="42"/>
        <v>2.6255458515283825E-2</v>
      </c>
      <c r="H93">
        <f t="shared" si="42"/>
        <v>1.222707423580785E-2</v>
      </c>
      <c r="I93">
        <f t="shared" si="42"/>
        <v>5.2128820960698485E-3</v>
      </c>
      <c r="J93">
        <f t="shared" si="42"/>
        <v>-5.3084061135371396E-3</v>
      </c>
      <c r="K93">
        <f t="shared" si="42"/>
        <v>-2.2304333221363798E-2</v>
      </c>
      <c r="L93">
        <f t="shared" si="42"/>
        <v>-2.7854023705552095E-2</v>
      </c>
    </row>
    <row r="94" spans="2:16" x14ac:dyDescent="0.25">
      <c r="B94" s="4">
        <v>373</v>
      </c>
      <c r="C94" s="4">
        <v>436</v>
      </c>
      <c r="E94">
        <f t="shared" ref="E94:L94" si="43">(E22*$L$26/2)-0.1</f>
        <v>2.83256880733945E-2</v>
      </c>
      <c r="F94">
        <f t="shared" si="43"/>
        <v>2.660550458715577E-3</v>
      </c>
      <c r="G94">
        <f t="shared" si="43"/>
        <v>-3.7557339449541538E-3</v>
      </c>
      <c r="H94">
        <f t="shared" si="43"/>
        <v>-1.4449541284403677E-2</v>
      </c>
      <c r="I94">
        <f t="shared" si="43"/>
        <v>-1.9796444954128453E-2</v>
      </c>
      <c r="J94">
        <f t="shared" si="43"/>
        <v>-2.781680045871561E-2</v>
      </c>
      <c r="K94">
        <f t="shared" si="43"/>
        <v>-4.0772759350741011E-2</v>
      </c>
      <c r="L94">
        <f t="shared" si="43"/>
        <v>-4.5003276539973797E-2</v>
      </c>
    </row>
    <row r="95" spans="2:16" x14ac:dyDescent="0.25">
      <c r="B95" s="4">
        <v>752</v>
      </c>
      <c r="C95" s="4">
        <v>1440</v>
      </c>
      <c r="E95">
        <f t="shared" ref="E95:L95" si="44">(E23*$L$26/2)-0.1</f>
        <v>-2.1666666666666667E-2</v>
      </c>
      <c r="F95">
        <f t="shared" si="44"/>
        <v>-3.7333333333333329E-2</v>
      </c>
      <c r="G95">
        <f t="shared" si="44"/>
        <v>-4.1250000000000002E-2</v>
      </c>
      <c r="H95">
        <f t="shared" si="44"/>
        <v>-4.777777777777778E-2</v>
      </c>
      <c r="I95">
        <f t="shared" si="44"/>
        <v>-5.1041666666666666E-2</v>
      </c>
      <c r="J95">
        <f t="shared" si="44"/>
        <v>-5.5937500000000001E-2</v>
      </c>
      <c r="K95">
        <f t="shared" si="44"/>
        <v>-6.3846153846153858E-2</v>
      </c>
      <c r="L95">
        <f t="shared" si="44"/>
        <v>-6.6428571428571434E-2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59C1-581B-42EB-A8D5-2D1413740DEC}">
  <sheetPr codeName="Sheet2"/>
  <dimension ref="A1:M92"/>
  <sheetViews>
    <sheetView workbookViewId="0">
      <selection activeCell="M13" sqref="M13"/>
    </sheetView>
  </sheetViews>
  <sheetFormatPr defaultRowHeight="15" x14ac:dyDescent="0.25"/>
  <sheetData>
    <row r="1" spans="1:13" x14ac:dyDescent="0.25">
      <c r="A1" t="s">
        <v>19</v>
      </c>
    </row>
    <row r="2" spans="1:13" x14ac:dyDescent="0.25">
      <c r="B2" t="s">
        <v>20</v>
      </c>
      <c r="M2" s="1" t="s">
        <v>25</v>
      </c>
    </row>
    <row r="3" spans="1:13" x14ac:dyDescent="0.25">
      <c r="C3" t="s">
        <v>6</v>
      </c>
    </row>
    <row r="4" spans="1:13" x14ac:dyDescent="0.25">
      <c r="D4" t="s">
        <v>7</v>
      </c>
    </row>
    <row r="5" spans="1:13" x14ac:dyDescent="0.25">
      <c r="E5" t="s">
        <v>8</v>
      </c>
    </row>
    <row r="6" spans="1:13" x14ac:dyDescent="0.25">
      <c r="F6" t="str">
        <f ca="1">Sheet1!O7</f>
        <v>&lt;itemSize&gt;0.104444444444444 0.2&lt;/itemSize&gt;</v>
      </c>
    </row>
    <row r="7" spans="1:13" x14ac:dyDescent="0.25">
      <c r="F7" t="str">
        <f ca="1">Sheet1!O8</f>
        <v>&lt;selectedItemMargins&gt;0.5 0.0261111111111111&lt;/selectedItemMargins&gt;</v>
      </c>
    </row>
    <row r="8" spans="1:13" x14ac:dyDescent="0.25">
      <c r="F8" t="str">
        <f ca="1">Sheet1!O9</f>
        <v>&lt;maxItemCount&gt;8.45070422535211&lt;/maxItemCount&gt;</v>
      </c>
    </row>
    <row r="9" spans="1:13" x14ac:dyDescent="0.25">
      <c r="F9" t="str">
        <f ca="1">Sheet1!O10</f>
        <v>&lt;horizontalOffset&gt;-0.0216666666666667&lt;/horizontalOffset&gt;</v>
      </c>
    </row>
    <row r="10" spans="1:13" x14ac:dyDescent="0.25">
      <c r="F10" t="str">
        <f>Sheet1!O11</f>
        <v>&lt;itemScale&gt;1.5&lt;/itemScale&gt;</v>
      </c>
    </row>
    <row r="11" spans="1:13" x14ac:dyDescent="0.25">
      <c r="E11" t="s">
        <v>9</v>
      </c>
    </row>
    <row r="12" spans="1:13" x14ac:dyDescent="0.25">
      <c r="D12" t="s">
        <v>10</v>
      </c>
    </row>
    <row r="13" spans="1:13" x14ac:dyDescent="0.25">
      <c r="C13" t="s">
        <v>11</v>
      </c>
    </row>
    <row r="14" spans="1:13" x14ac:dyDescent="0.25">
      <c r="C14" t="s">
        <v>12</v>
      </c>
    </row>
    <row r="15" spans="1:13" x14ac:dyDescent="0.25">
      <c r="D15" t="s">
        <v>7</v>
      </c>
    </row>
    <row r="16" spans="1:13" x14ac:dyDescent="0.25">
      <c r="E16" t="s">
        <v>8</v>
      </c>
    </row>
    <row r="17" spans="3:6" x14ac:dyDescent="0.25">
      <c r="F17" t="str">
        <f ca="1">Sheet1!P7</f>
        <v>&lt;itemSize&gt;0.0835555555555556 0.2&lt;/itemSize&gt;</v>
      </c>
    </row>
    <row r="18" spans="3:6" x14ac:dyDescent="0.25">
      <c r="F18" t="str">
        <f ca="1">Sheet1!P8</f>
        <v>&lt;selectedItemMargins&gt;0.5 0.0208888888888889&lt;/selectedItemMargins&gt;</v>
      </c>
    </row>
    <row r="19" spans="3:6" x14ac:dyDescent="0.25">
      <c r="F19" t="str">
        <f ca="1">Sheet1!P9</f>
        <v>&lt;maxItemCount&gt;10.5633802816901&lt;/maxItemCount&gt;</v>
      </c>
    </row>
    <row r="20" spans="3:6" x14ac:dyDescent="0.25">
      <c r="F20" t="str">
        <f ca="1">Sheet1!P10</f>
        <v>&lt;horizontalOffset&gt;-0.0373333333333333&lt;/horizontalOffset&gt;</v>
      </c>
    </row>
    <row r="21" spans="3:6" x14ac:dyDescent="0.25">
      <c r="F21" t="str">
        <f>Sheet1!P11</f>
        <v>&lt;itemScale&gt;1.5&lt;/itemScale&gt;</v>
      </c>
    </row>
    <row r="22" spans="3:6" x14ac:dyDescent="0.25">
      <c r="E22" t="s">
        <v>9</v>
      </c>
    </row>
    <row r="23" spans="3:6" x14ac:dyDescent="0.25">
      <c r="D23" t="s">
        <v>10</v>
      </c>
    </row>
    <row r="24" spans="3:6" x14ac:dyDescent="0.25">
      <c r="C24" t="s">
        <v>11</v>
      </c>
    </row>
    <row r="25" spans="3:6" x14ac:dyDescent="0.25">
      <c r="C25" t="s">
        <v>13</v>
      </c>
    </row>
    <row r="26" spans="3:6" x14ac:dyDescent="0.25">
      <c r="D26" t="s">
        <v>7</v>
      </c>
    </row>
    <row r="27" spans="3:6" x14ac:dyDescent="0.25">
      <c r="E27" t="s">
        <v>8</v>
      </c>
    </row>
    <row r="28" spans="3:6" x14ac:dyDescent="0.25">
      <c r="F28" t="str">
        <f ca="1">Sheet1!Q7</f>
        <v>&lt;itemSize&gt;0.0783333333333333 0.2&lt;/itemSize&gt;</v>
      </c>
    </row>
    <row r="29" spans="3:6" x14ac:dyDescent="0.25">
      <c r="F29" t="str">
        <f ca="1">Sheet1!Q8</f>
        <v>&lt;selectedItemMargins&gt;0.5 0.0195833333333333&lt;/selectedItemMargins&gt;</v>
      </c>
    </row>
    <row r="30" spans="3:6" x14ac:dyDescent="0.25">
      <c r="F30" t="str">
        <f ca="1">Sheet1!Q9</f>
        <v>&lt;maxItemCount&gt;11.2676056338028&lt;/maxItemCount&gt;</v>
      </c>
    </row>
    <row r="31" spans="3:6" x14ac:dyDescent="0.25">
      <c r="F31" t="str">
        <f ca="1">Sheet1!Q10</f>
        <v>&lt;horizontalOffset&gt;-0.04125&lt;/horizontalOffset&gt;</v>
      </c>
    </row>
    <row r="32" spans="3:6" x14ac:dyDescent="0.25">
      <c r="F32" t="str">
        <f>Sheet1!Q11</f>
        <v>&lt;itemScale&gt;1.5&lt;/itemScale&gt;</v>
      </c>
    </row>
    <row r="33" spans="3:6" x14ac:dyDescent="0.25">
      <c r="E33" t="s">
        <v>9</v>
      </c>
    </row>
    <row r="34" spans="3:6" x14ac:dyDescent="0.25">
      <c r="D34" t="s">
        <v>10</v>
      </c>
    </row>
    <row r="35" spans="3:6" x14ac:dyDescent="0.25">
      <c r="C35" t="s">
        <v>11</v>
      </c>
    </row>
    <row r="36" spans="3:6" x14ac:dyDescent="0.25">
      <c r="C36" t="s">
        <v>14</v>
      </c>
    </row>
    <row r="37" spans="3:6" x14ac:dyDescent="0.25">
      <c r="D37" t="s">
        <v>7</v>
      </c>
    </row>
    <row r="38" spans="3:6" x14ac:dyDescent="0.25">
      <c r="E38" t="s">
        <v>8</v>
      </c>
    </row>
    <row r="39" spans="3:6" x14ac:dyDescent="0.25">
      <c r="F39" t="str">
        <f ca="1">Sheet1!R7</f>
        <v>&lt;itemSize&gt;0.0696296296296296 0.2&lt;/itemSize&gt;</v>
      </c>
    </row>
    <row r="40" spans="3:6" x14ac:dyDescent="0.25">
      <c r="F40" t="str">
        <f ca="1">Sheet1!R8</f>
        <v>&lt;selectedItemMargins&gt;0.5 0.0174074074074074&lt;/selectedItemMargins&gt;</v>
      </c>
    </row>
    <row r="41" spans="3:6" x14ac:dyDescent="0.25">
      <c r="F41" t="str">
        <f ca="1">Sheet1!R9</f>
        <v>&lt;maxItemCount&gt;12.6760563380282&lt;/maxItemCount&gt;</v>
      </c>
    </row>
    <row r="42" spans="3:6" x14ac:dyDescent="0.25">
      <c r="F42" t="str">
        <f ca="1">Sheet1!R10</f>
        <v>&lt;horizontalOffset&gt;-0.0477777777777778&lt;/horizontalOffset&gt;</v>
      </c>
    </row>
    <row r="43" spans="3:6" x14ac:dyDescent="0.25">
      <c r="F43" t="str">
        <f>Sheet1!R11</f>
        <v>&lt;itemScale&gt;1.5&lt;/itemScale&gt;</v>
      </c>
    </row>
    <row r="44" spans="3:6" x14ac:dyDescent="0.25">
      <c r="E44" t="s">
        <v>9</v>
      </c>
    </row>
    <row r="45" spans="3:6" x14ac:dyDescent="0.25">
      <c r="D45" t="s">
        <v>10</v>
      </c>
    </row>
    <row r="46" spans="3:6" x14ac:dyDescent="0.25">
      <c r="C46" t="s">
        <v>11</v>
      </c>
    </row>
    <row r="47" spans="3:6" x14ac:dyDescent="0.25">
      <c r="C47" t="s">
        <v>15</v>
      </c>
    </row>
    <row r="48" spans="3:6" x14ac:dyDescent="0.25">
      <c r="D48" t="s">
        <v>7</v>
      </c>
    </row>
    <row r="49" spans="3:6" x14ac:dyDescent="0.25">
      <c r="E49" t="s">
        <v>8</v>
      </c>
    </row>
    <row r="50" spans="3:6" x14ac:dyDescent="0.25">
      <c r="F50" t="str">
        <f ca="1">Sheet1!S7</f>
        <v>&lt;itemSize&gt;0.0652777777777778 0.2&lt;/itemSize&gt;</v>
      </c>
    </row>
    <row r="51" spans="3:6" x14ac:dyDescent="0.25">
      <c r="F51" t="str">
        <f ca="1">Sheet1!S8</f>
        <v>&lt;selectedItemMargins&gt;0.5 0.0163194444444444&lt;/selectedItemMargins&gt;</v>
      </c>
    </row>
    <row r="52" spans="3:6" x14ac:dyDescent="0.25">
      <c r="F52" t="str">
        <f ca="1">Sheet1!S9</f>
        <v>&lt;maxItemCount&gt;13.5211267605634&lt;/maxItemCount&gt;</v>
      </c>
    </row>
    <row r="53" spans="3:6" x14ac:dyDescent="0.25">
      <c r="F53" t="str">
        <f ca="1">Sheet1!S10</f>
        <v>&lt;horizontalOffset&gt;-0.0510416666666667&lt;/horizontalOffset&gt;</v>
      </c>
    </row>
    <row r="54" spans="3:6" x14ac:dyDescent="0.25">
      <c r="F54" t="str">
        <f>Sheet1!S11</f>
        <v>&lt;itemScale&gt;1.5&lt;/itemScale&gt;</v>
      </c>
    </row>
    <row r="55" spans="3:6" x14ac:dyDescent="0.25">
      <c r="E55" t="s">
        <v>9</v>
      </c>
    </row>
    <row r="56" spans="3:6" x14ac:dyDescent="0.25">
      <c r="D56" t="s">
        <v>10</v>
      </c>
    </row>
    <row r="57" spans="3:6" x14ac:dyDescent="0.25">
      <c r="C57" t="s">
        <v>11</v>
      </c>
    </row>
    <row r="58" spans="3:6" x14ac:dyDescent="0.25">
      <c r="C58" t="s">
        <v>16</v>
      </c>
    </row>
    <row r="59" spans="3:6" x14ac:dyDescent="0.25">
      <c r="D59" t="s">
        <v>7</v>
      </c>
    </row>
    <row r="60" spans="3:6" x14ac:dyDescent="0.25">
      <c r="E60" t="s">
        <v>8</v>
      </c>
    </row>
    <row r="61" spans="3:6" x14ac:dyDescent="0.25">
      <c r="F61" t="str">
        <f ca="1">Sheet1!T7</f>
        <v>&lt;itemSize&gt;0.05875 0.2&lt;/itemSize&gt;</v>
      </c>
    </row>
    <row r="62" spans="3:6" x14ac:dyDescent="0.25">
      <c r="F62" t="str">
        <f ca="1">Sheet1!T8</f>
        <v>&lt;selectedItemMargins&gt;0.5 0.0146875&lt;/selectedItemMargins&gt;</v>
      </c>
    </row>
    <row r="63" spans="3:6" x14ac:dyDescent="0.25">
      <c r="F63" t="str">
        <f ca="1">Sheet1!T9</f>
        <v>&lt;maxItemCount&gt;15.0234741784038&lt;/maxItemCount&gt;</v>
      </c>
    </row>
    <row r="64" spans="3:6" x14ac:dyDescent="0.25">
      <c r="F64" t="str">
        <f ca="1">Sheet1!T10</f>
        <v>&lt;horizontalOffset&gt;-0.0559375&lt;/horizontalOffset&gt;</v>
      </c>
    </row>
    <row r="65" spans="3:6" x14ac:dyDescent="0.25">
      <c r="F65" t="str">
        <f>Sheet1!T11</f>
        <v>&lt;itemScale&gt;1.5&lt;/itemScale&gt;</v>
      </c>
    </row>
    <row r="66" spans="3:6" x14ac:dyDescent="0.25">
      <c r="E66" t="s">
        <v>9</v>
      </c>
    </row>
    <row r="67" spans="3:6" x14ac:dyDescent="0.25">
      <c r="D67" t="s">
        <v>10</v>
      </c>
    </row>
    <row r="68" spans="3:6" x14ac:dyDescent="0.25">
      <c r="C68" t="s">
        <v>11</v>
      </c>
    </row>
    <row r="69" spans="3:6" x14ac:dyDescent="0.25">
      <c r="C69" t="s">
        <v>17</v>
      </c>
    </row>
    <row r="70" spans="3:6" x14ac:dyDescent="0.25">
      <c r="D70" t="s">
        <v>7</v>
      </c>
    </row>
    <row r="71" spans="3:6" x14ac:dyDescent="0.25">
      <c r="E71" t="s">
        <v>8</v>
      </c>
    </row>
    <row r="72" spans="3:6" x14ac:dyDescent="0.25">
      <c r="F72" t="str">
        <f ca="1">Sheet1!U7</f>
        <v>&lt;itemSize&gt;0.0482051282051282 0.2&lt;/itemSize&gt;</v>
      </c>
    </row>
    <row r="73" spans="3:6" x14ac:dyDescent="0.25">
      <c r="F73" t="str">
        <f ca="1">Sheet1!U8</f>
        <v>&lt;selectedItemMargins&gt;0.5 0.0120512820512821&lt;/selectedItemMargins&gt;</v>
      </c>
    </row>
    <row r="74" spans="3:6" x14ac:dyDescent="0.25">
      <c r="F74" t="str">
        <f ca="1">Sheet1!U9</f>
        <v>&lt;maxItemCount&gt;18.3098591549296&lt;/maxItemCount&gt;</v>
      </c>
    </row>
    <row r="75" spans="3:6" x14ac:dyDescent="0.25">
      <c r="F75" t="str">
        <f ca="1">Sheet1!U10</f>
        <v>&lt;horizontalOffset&gt;-0.0638461538461539&lt;/horizontalOffset&gt;</v>
      </c>
    </row>
    <row r="76" spans="3:6" x14ac:dyDescent="0.25">
      <c r="F76" t="str">
        <f>Sheet1!U11</f>
        <v>&lt;itemScale&gt;1.5&lt;/itemScale&gt;</v>
      </c>
    </row>
    <row r="77" spans="3:6" x14ac:dyDescent="0.25">
      <c r="E77" t="s">
        <v>9</v>
      </c>
    </row>
    <row r="78" spans="3:6" x14ac:dyDescent="0.25">
      <c r="D78" t="s">
        <v>10</v>
      </c>
    </row>
    <row r="79" spans="3:6" x14ac:dyDescent="0.25">
      <c r="C79" t="s">
        <v>11</v>
      </c>
    </row>
    <row r="80" spans="3:6" x14ac:dyDescent="0.25">
      <c r="C80" t="s">
        <v>18</v>
      </c>
    </row>
    <row r="81" spans="1:6" x14ac:dyDescent="0.25">
      <c r="D81" t="s">
        <v>7</v>
      </c>
    </row>
    <row r="82" spans="1:6" x14ac:dyDescent="0.25">
      <c r="E82" t="s">
        <v>8</v>
      </c>
    </row>
    <row r="83" spans="1:6" x14ac:dyDescent="0.25">
      <c r="F83" t="str">
        <f ca="1">Sheet1!V7</f>
        <v>&lt;itemSize&gt;0.0447619047619048 0.2&lt;/itemSize&gt;</v>
      </c>
    </row>
    <row r="84" spans="1:6" x14ac:dyDescent="0.25">
      <c r="F84" t="str">
        <f ca="1">Sheet1!V8</f>
        <v>&lt;selectedItemMargins&gt;0.5 0.0111904761904762&lt;/selectedItemMargins&gt;</v>
      </c>
    </row>
    <row r="85" spans="1:6" x14ac:dyDescent="0.25">
      <c r="F85" t="str">
        <f ca="1">Sheet1!V9</f>
        <v>&lt;maxItemCount&gt;19.7183098591549&lt;/maxItemCount&gt;</v>
      </c>
    </row>
    <row r="86" spans="1:6" x14ac:dyDescent="0.25">
      <c r="F86" t="str">
        <f ca="1">Sheet1!V10</f>
        <v>&lt;horizontalOffset&gt;-0.0664285714285714&lt;/horizontalOffset&gt;</v>
      </c>
    </row>
    <row r="87" spans="1:6" x14ac:dyDescent="0.25">
      <c r="F87" t="str">
        <f>Sheet1!V11</f>
        <v>&lt;itemScale&gt;1.5&lt;/itemScale&gt;</v>
      </c>
    </row>
    <row r="88" spans="1:6" x14ac:dyDescent="0.25">
      <c r="E88" t="s">
        <v>9</v>
      </c>
    </row>
    <row r="89" spans="1:6" x14ac:dyDescent="0.25">
      <c r="D89" t="s">
        <v>10</v>
      </c>
    </row>
    <row r="90" spans="1:6" x14ac:dyDescent="0.25">
      <c r="C90" t="s">
        <v>11</v>
      </c>
    </row>
    <row r="91" spans="1:6" x14ac:dyDescent="0.25">
      <c r="A91" t="s">
        <v>21</v>
      </c>
    </row>
    <row r="92" spans="1:6" x14ac:dyDescent="0.25">
      <c r="A92" t="s">
        <v>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ExportPlainTextAsXml">
                <anchor moveWithCells="1" sizeWithCells="1">
                  <from>
                    <xdr:col>12</xdr:col>
                    <xdr:colOff>400050</xdr:colOff>
                    <xdr:row>3</xdr:row>
                    <xdr:rowOff>161925</xdr:rowOff>
                  </from>
                  <to>
                    <xdr:col>14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51634-8ED5-4096-89A1-863BB59EC509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Drop_Down_1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2025-01-06T18:54:16Z</dcterms:created>
  <dcterms:modified xsi:type="dcterms:W3CDTF">2025-01-10T22:46:50Z</dcterms:modified>
</cp:coreProperties>
</file>